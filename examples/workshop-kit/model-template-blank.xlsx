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Types" sheetId="2" state="visible" r:id="rId4"/>
    <sheet name="1 Measurement types" sheetId="3" state="visible" r:id="rId5"/>
    <sheet name="1 Relationship types" sheetId="4" state="visible" r:id="rId6"/>
    <sheet name="2 Assets" sheetId="5" state="visible" r:id="rId7"/>
    <sheet name="2 Measurements" sheetId="6" state="visible" r:id="rId8"/>
    <sheet name="2 Relationships" sheetId="7" state="visible" r:id="rId9"/>
    <sheet name="3 Binding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<sst xmlns="http://schemas.openxmlformats.org/spreadsheetml/2006/main" count="223" uniqueCount="162">
  <si>
    <t xml:space="preserve">Model template</t>
  </si>
  <si>
    <t xml:space="preserve">What this is</t>
  </si>
  <si>
    <t xml:space="preserve">A starting point for your own model, with the same three parts as the example models: types, plant and bindings.</t>
  </si>
  <si>
    <t xml:space="preserve">What is in it now</t>
  </si>
  <si>
    <t xml:space="preserve">Empty, ready for your own model. The three type sheets keep the example's types as a start: keep the ones you need, change the rest. The example copy (model-template.xlsx) shows a filled-in model.</t>
  </si>
  <si>
    <t xml:space="preserve">Yellow cells</t>
  </si>
  <si>
    <t xml:space="preserve">Yours to fill in. Most columns offer a drop-down list of the names already defined.</t>
  </si>
  <si>
    <t xml:space="preserve">Grey cells</t>
  </si>
  <si>
    <t xml:space="preserve">Formulas. Do not type in them. Each Check column shows "ok" or says what is wrong with that row.</t>
  </si>
  <si>
    <t xml:space="preserve">Room</t>
  </si>
  <si>
    <t xml:space="preserve">Each sheet checks rows 2 to 201. Start small: about ten assets is enough.</t>
  </si>
  <si>
    <t xml:space="preserve">Topics</t>
  </si>
  <si>
    <t xml:space="preserve">Built for you on the Bindings sheet, the same way as the example files: a measurement goes under the prefix below, then the asset's path and its short name; a state or alarm goes under the second prefix, then the top level, the asset and its short name. An asset can have a shorter name for topics. Nothing is typed twice.</t>
  </si>
  <si>
    <t xml:space="preserve">Topic prefix for measurements</t>
  </si>
  <si>
    <t xml:space="preserve">example/telemetry/wastewater</t>
  </si>
  <si>
    <t xml:space="preserve">Change this to your own.</t>
  </si>
  <si>
    <t xml:space="preserve">Topic prefix for states and alarms</t>
  </si>
  <si>
    <t xml:space="preserve">example/events/wastewater</t>
  </si>
  <si>
    <t xml:space="preserve">Which copy is the source</t>
  </si>
  <si>
    <t xml:space="preserve">This spreadsheet is a starting point. Once the model is kept as files or in a tool, name that copy as the source and stop editing this one.</t>
  </si>
  <si>
    <t xml:space="preserve">Never put in this file</t>
  </si>
  <si>
    <t xml:space="preserve">Passwords, network addresses, real locations of critical equipment. If you fill in the Bindings sheet with real addresses, keep the file inside your organisation.</t>
  </si>
  <si>
    <t xml:space="preserve">Left out to keep it small</t>
  </si>
  <si>
    <t xml:space="preserve">Records such as procedures and drawings, quality limits, and derived values. The example files show how to add them later.</t>
  </si>
  <si>
    <t xml:space="preserve">Everything here is invented</t>
  </si>
  <si>
    <t xml:space="preserve">No name, tag, topic or value describes a real system.</t>
  </si>
  <si>
    <t xml:space="preserve">Sheet</t>
  </si>
  <si>
    <t xml:space="preserve">Rows filled</t>
  </si>
  <si>
    <t xml:space="preserve">Rows with a problem</t>
  </si>
  <si>
    <t xml:space="preserve">1 Types</t>
  </si>
  <si>
    <t xml:space="preserve">1 Measurement types</t>
  </si>
  <si>
    <t xml:space="preserve">1 Relationship types</t>
  </si>
  <si>
    <t xml:space="preserve">2 Assets</t>
  </si>
  <si>
    <t xml:space="preserve">2 Measurements</t>
  </si>
  <si>
    <t xml:space="preserve">2 Relationships</t>
  </si>
  <si>
    <t xml:space="preserve">3 Bindings</t>
  </si>
  <si>
    <t xml:space="preserve">All sheets</t>
  </si>
  <si>
    <t xml:space="preserve">Measurements not yet on the Bindings sheet</t>
  </si>
  <si>
    <t xml:space="preserve">Not a problem during a first session. Fill these in afterwards.</t>
  </si>
  <si>
    <t xml:space="preserve">What the checks catch</t>
  </si>
  <si>
    <t xml:space="preserve">Names that do not match exactly (capitals count), duplicates, an asset with no parent that is not a site or network, a parent loop or more than five levels, a kind or measurement type that is not defined, a missing or wrong unit, and a topic used twice.</t>
  </si>
  <si>
    <t xml:space="preserve">What they cannot catch</t>
  </si>
  <si>
    <t xml:space="preserve">Whether a relationship is true, or whether a value is bound to the right address. Only people who know the plant can check that.</t>
  </si>
  <si>
    <t xml:space="preserve">Type</t>
  </si>
  <si>
    <t xml:space="preserve">Is a kind of (extends)</t>
  </si>
  <si>
    <t xml:space="preserve">What it means</t>
  </si>
  <si>
    <t xml:space="preserve">Shared or local</t>
  </si>
  <si>
    <t xml:space="preserve">Can sit at the top, with no parent</t>
  </si>
  <si>
    <t xml:space="preserve">Standard followed, or to check first</t>
  </si>
  <si>
    <t xml:space="preserve">Check (do not edit)</t>
  </si>
  <si>
    <t xml:space="preserve">Location</t>
  </si>
  <si>
    <t xml:space="preserve">A place: a site, a linear network, or a hydraulic region</t>
  </si>
  <si>
    <t xml:space="preserve">Shared</t>
  </si>
  <si>
    <t xml:space="preserve">Function</t>
  </si>
  <si>
    <t xml:space="preserve">A named slot in the site -&gt; area -&gt; equipment tree</t>
  </si>
  <si>
    <t xml:space="preserve">Asset</t>
  </si>
  <si>
    <t xml:space="preserve">A physical thing with its own identity, installed at one Function</t>
  </si>
  <si>
    <t xml:space="preserve">Site</t>
  </si>
  <si>
    <t xml:space="preserve">ISA-95 site: a plant or a station</t>
  </si>
  <si>
    <t xml:space="preserve">yes</t>
  </si>
  <si>
    <t xml:space="preserve">ISA-95 equipment hierarchy</t>
  </si>
  <si>
    <t xml:space="preserve">Network</t>
  </si>
  <si>
    <t xml:space="preserve">A linear network (transmission mains) operated as one place</t>
  </si>
  <si>
    <t xml:space="preserve">Area</t>
  </si>
  <si>
    <t xml:space="preserve">ISA-95 area: a process area of a site</t>
  </si>
  <si>
    <t xml:space="preserve">Equipment</t>
  </si>
  <si>
    <t xml:space="preserve">A position in an area</t>
  </si>
  <si>
    <t xml:space="preserve">ISA-95 equipment hierarchy (the levels below area)</t>
  </si>
  <si>
    <t xml:space="preserve">Reservoir</t>
  </si>
  <si>
    <t xml:space="preserve">A storage cell, clearwell or reservoir</t>
  </si>
  <si>
    <t xml:space="preserve">Smart Data Models for water</t>
  </si>
  <si>
    <t xml:space="preserve">Pump</t>
  </si>
  <si>
    <t xml:space="preserve">A pump POSITION (duty role, run state, speed)</t>
  </si>
  <si>
    <t xml:space="preserve">OPC 40223, OPC UA for Pumps and Vacuum Pumps</t>
  </si>
  <si>
    <t xml:space="preserve">Main</t>
  </si>
  <si>
    <t xml:space="preserve">A section of transmission main between two places</t>
  </si>
  <si>
    <t xml:space="preserve">Instrument</t>
  </si>
  <si>
    <t xml:space="preserve">An online analyzer or transmitter</t>
  </si>
  <si>
    <t xml:space="preserve">ISA-5.1, instrument symbols and identification</t>
  </si>
  <si>
    <t xml:space="preserve">WetWell</t>
  </si>
  <si>
    <t xml:space="preserve">A chamber that collects sewage ahead of the pumps</t>
  </si>
  <si>
    <t xml:space="preserve">Local</t>
  </si>
  <si>
    <t xml:space="preserve">Forcemain</t>
  </si>
  <si>
    <t xml:space="preserve">A pressurised sewer from a pumping station</t>
  </si>
  <si>
    <t xml:space="preserve">Screen</t>
  </si>
  <si>
    <t xml:space="preserve">A screen that removes debris at the plant inlet</t>
  </si>
  <si>
    <t xml:space="preserve">GritChamber</t>
  </si>
  <si>
    <t xml:space="preserve">A chamber where sand and grit settle out after screening</t>
  </si>
  <si>
    <t xml:space="preserve">Blower</t>
  </si>
  <si>
    <t xml:space="preserve">A blower that supplies air to an aeration basin</t>
  </si>
  <si>
    <t xml:space="preserve">AerationBasin</t>
  </si>
  <si>
    <t xml:space="preserve">A basin where air is added for biological treatment</t>
  </si>
  <si>
    <t xml:space="preserve">Clarifier</t>
  </si>
  <si>
    <t xml:space="preserve">A tank where solids settle out</t>
  </si>
  <si>
    <t xml:space="preserve">Measurement type</t>
  </si>
  <si>
    <t xml:space="preserve">Kind</t>
  </si>
  <si>
    <t xml:space="preserve">Unit (blank for a state or alarm)</t>
  </si>
  <si>
    <t xml:space="preserve">Pressure</t>
  </si>
  <si>
    <t xml:space="preserve">Measurement</t>
  </si>
  <si>
    <t xml:space="preserve">kPa</t>
  </si>
  <si>
    <t xml:space="preserve">Water pressure</t>
  </si>
  <si>
    <t xml:space="preserve">Flow</t>
  </si>
  <si>
    <t xml:space="preserve">L/s</t>
  </si>
  <si>
    <t xml:space="preserve">Volumetric flow rate</t>
  </si>
  <si>
    <t xml:space="preserve">Level</t>
  </si>
  <si>
    <t xml:space="preserve">m</t>
  </si>
  <si>
    <t xml:space="preserve">Liquid level</t>
  </si>
  <si>
    <t xml:space="preserve">DissolvedOxygen</t>
  </si>
  <si>
    <t xml:space="preserve">mg/L</t>
  </si>
  <si>
    <t xml:space="preserve">Dissolved oxygen</t>
  </si>
  <si>
    <t xml:space="preserve">DifferentialLevel</t>
  </si>
  <si>
    <t xml:space="preserve">Difference in level across a screen</t>
  </si>
  <si>
    <t xml:space="preserve">MotorCurrent</t>
  </si>
  <si>
    <t xml:space="preserve">A</t>
  </si>
  <si>
    <t xml:space="preserve">Motor current</t>
  </si>
  <si>
    <t xml:space="preserve">PumpRunState</t>
  </si>
  <si>
    <t xml:space="preserve">State or alarm</t>
  </si>
  <si>
    <t xml:space="preserve">Pump run state</t>
  </si>
  <si>
    <t xml:space="preserve">PumpTripAlarm</t>
  </si>
  <si>
    <t xml:space="preserve">Pump protection trip</t>
  </si>
  <si>
    <t xml:space="preserve">FailToStartAlarm</t>
  </si>
  <si>
    <t xml:space="preserve">A machine was commanded to start and did not</t>
  </si>
  <si>
    <t xml:space="preserve">MainState</t>
  </si>
  <si>
    <t xml:space="preserve">Operating state of a transmission main section</t>
  </si>
  <si>
    <t xml:space="preserve">HighLevelAlarm</t>
  </si>
  <si>
    <t xml:space="preserve">Level above its alarm limit</t>
  </si>
  <si>
    <t xml:space="preserve">HighHighLevelAlarm</t>
  </si>
  <si>
    <t xml:space="preserve">Level above its second, higher alarm limit</t>
  </si>
  <si>
    <t xml:space="preserve">Relationship</t>
  </si>
  <si>
    <t xml:space="preserve">Its reverse</t>
  </si>
  <si>
    <t xml:space="preserve">Feeds</t>
  </si>
  <si>
    <t xml:space="preserve">FedBy</t>
  </si>
  <si>
    <t xml:space="preserve">The process stream (water or sewage) passes from one position to the next</t>
  </si>
  <si>
    <t xml:space="preserve">SuppliesAir</t>
  </si>
  <si>
    <t xml:space="preserve">AirSuppliedBy</t>
  </si>
  <si>
    <t xml:space="preserve">A compressor or blower supplies air to a vessel or basin</t>
  </si>
  <si>
    <t xml:space="preserve">Protects</t>
  </si>
  <si>
    <t xml:space="preserve">ProtectedBy</t>
  </si>
  <si>
    <t xml:space="preserve">A protective device guards a position (a surge vessel guards a main)</t>
  </si>
  <si>
    <t xml:space="preserve">Monitors</t>
  </si>
  <si>
    <t xml:space="preserve">MonitoredBy</t>
  </si>
  <si>
    <t xml:space="preserve">An instrument observes a position</t>
  </si>
  <si>
    <t xml:space="preserve">Asset ID</t>
  </si>
  <si>
    <t xml:space="preserve">Display name</t>
  </si>
  <si>
    <t xml:space="preserve">Parent (blank only for a site or network)</t>
  </si>
  <si>
    <t xml:space="preserve">Name in topics (optional; blank uses the ID)</t>
  </si>
  <si>
    <t xml:space="preserve">Topic path (do not edit)</t>
  </si>
  <si>
    <t xml:space="preserve">Parent</t>
  </si>
  <si>
    <t xml:space="preserve">Its parent</t>
  </si>
  <si>
    <t xml:space="preserve">Next up</t>
  </si>
  <si>
    <t xml:space="preserve">Too deep or a loop?</t>
  </si>
  <si>
    <t xml:space="preserve">Top level</t>
  </si>
  <si>
    <t xml:space="preserve">Measurement ID</t>
  </si>
  <si>
    <t xml:space="preserve">Asset it belongs to</t>
  </si>
  <si>
    <t xml:space="preserve">What it measures (from the Measurement types sheet)</t>
  </si>
  <si>
    <t xml:space="preserve">Short name (last part of the topic)</t>
  </si>
  <si>
    <t xml:space="preserve">On the Bindings sheet? (do not edit)</t>
  </si>
  <si>
    <t xml:space="preserve">From (asset ID)</t>
  </si>
  <si>
    <t xml:space="preserve">To (asset ID)</t>
  </si>
  <si>
    <t xml:space="preserve">Address at the source</t>
  </si>
  <si>
    <t xml:space="preserve">Historian tag</t>
  </si>
  <si>
    <t xml:space="preserve">Topic (built for you; do not edit)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</si>
</sst>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0F6E7C"/>
        <bgColor rgb="FF008080"/>
      </patternFill>
    </fill>
    <fill>
      <patternFill patternType="solid">
        <fgColor rgb="FFEDEDED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7C"/>
      <rgbColor rgb="FFC0C0C0"/>
      <rgbColor rgb="FF808080"/>
      <rgbColor rgb="FF9999FF"/>
      <rgbColor rgb="FF993366"/>
      <rgbColor rgb="FFFFF9DB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  <c r="B3" s="3"/>
      <c r="C3" s="4" t="s">
        <v>2</v>
      </c>
    </row>
    <row r="4" customFormat="false" ht="23.85" hidden="false" customHeight="false" outlineLevel="0" collapsed="false">
      <c r="A4" s="2" t="s">
        <v>3</v>
      </c>
      <c r="B4" s="3"/>
      <c r="C4" s="4" t="s">
        <v>4</v>
      </c>
    </row>
    <row r="5" customFormat="false" ht="15" hidden="false" customHeight="false" outlineLevel="0" collapsed="false">
      <c r="A5" s="2" t="s">
        <v>5</v>
      </c>
      <c r="B5" s="3"/>
      <c r="C5" s="4" t="s">
        <v>6</v>
      </c>
    </row>
    <row r="6" customFormat="false" ht="15" hidden="false" customHeight="false" outlineLevel="0" collapsed="false">
      <c r="A6" s="2" t="s">
        <v>7</v>
      </c>
      <c r="B6" s="3"/>
      <c r="C6" s="4" t="s">
        <v>8</v>
      </c>
    </row>
    <row r="7" customFormat="false" ht="15" hidden="false" customHeight="false" outlineLevel="0" collapsed="false">
      <c r="A7" s="2" t="s">
        <v>9</v>
      </c>
      <c r="B7" s="3"/>
      <c r="C7" s="4" t="s">
        <v>10</v>
      </c>
    </row>
    <row r="8" customFormat="false" ht="46.25" hidden="false" customHeight="false" outlineLevel="0" collapsed="false">
      <c r="A8" s="2" t="s">
        <v>11</v>
      </c>
      <c r="B8" s="3"/>
      <c r="C8" s="4" t="s">
        <v>12</v>
      </c>
    </row>
    <row r="9" customFormat="false" ht="15" hidden="false" customHeight="false" outlineLevel="0" collapsed="false">
      <c r="A9" s="2" t="s">
        <v>13</v>
      </c>
      <c r="B9" s="5" t="s">
        <v>14</v>
      </c>
      <c r="C9" s="4" t="s">
        <v>15</v>
      </c>
    </row>
    <row r="10" customFormat="false" ht="15" hidden="false" customHeight="false" outlineLevel="0" collapsed="false">
      <c r="A10" s="2" t="s">
        <v>16</v>
      </c>
      <c r="B10" s="5" t="s">
        <v>17</v>
      </c>
      <c r="C10" s="4" t="s">
        <v>15</v>
      </c>
    </row>
    <row r="11" customFormat="false" ht="23.85" hidden="false" customHeight="false" outlineLevel="0" collapsed="false">
      <c r="A11" s="2" t="s">
        <v>18</v>
      </c>
      <c r="B11" s="3"/>
      <c r="C11" s="4" t="s">
        <v>19</v>
      </c>
    </row>
    <row r="12" customFormat="false" ht="23.85" hidden="false" customHeight="false" outlineLevel="0" collapsed="false">
      <c r="A12" s="2" t="s">
        <v>20</v>
      </c>
      <c r="B12" s="3"/>
      <c r="C12" s="4" t="s">
        <v>21</v>
      </c>
    </row>
    <row r="13" customFormat="false" ht="23.85" hidden="false" customHeight="false" outlineLevel="0" collapsed="false">
      <c r="A13" s="2" t="s">
        <v>22</v>
      </c>
      <c r="B13" s="3"/>
      <c r="C13" s="4" t="s">
        <v>23</v>
      </c>
    </row>
    <row r="14" customFormat="false" ht="15" hidden="false" customHeight="false" outlineLevel="0" collapsed="false">
      <c r="A14" s="2" t="s">
        <v>24</v>
      </c>
      <c r="B14" s="3"/>
      <c r="C14" s="4" t="s">
        <v>25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6" t="s">
        <v>26</v>
      </c>
      <c r="B16" s="6" t="s">
        <v>27</v>
      </c>
      <c r="C16" s="7" t="s">
        <v>28</v>
      </c>
    </row>
    <row r="17" customFormat="false" ht="15" hidden="false" customHeight="false" outlineLevel="0" collapsed="false">
      <c r="A17" s="3" t="s">
        <v>29</v>
      </c>
      <c r="B17" s="3" t="n">
        <f aca="false">COUNTA('1 Types'!$A$2:$A$201)</f>
        <v>18</v>
      </c>
      <c r="C17" s="3" t="n">
        <f aca="false">SUMPRODUCT(('1 Types'!$G$2:$G$201&lt;&gt;"ok")*('1 Types'!$A$2:$A$201&lt;&gt;""))</f>
        <v>0</v>
      </c>
    </row>
    <row r="18" customFormat="false" ht="15" hidden="false" customHeight="false" outlineLevel="0" collapsed="false">
      <c r="A18" s="3" t="s">
        <v>30</v>
      </c>
      <c r="B18" s="3" t="n">
        <f aca="false">COUNTA('1 Measurement types'!$A$2:$A$201)</f>
        <v>12</v>
      </c>
      <c r="C18" s="3" t="n">
        <f aca="false">SUMPRODUCT(('1 Measurement types'!$E$2:$E$201&lt;&gt;"ok")*('1 Measurement types'!$A$2:$A$201&lt;&gt;""))</f>
        <v>0</v>
      </c>
    </row>
    <row r="19" customFormat="false" ht="15" hidden="false" customHeight="false" outlineLevel="0" collapsed="false">
      <c r="A19" s="3" t="s">
        <v>31</v>
      </c>
      <c r="B19" s="3" t="n">
        <f aca="false">COUNTA('1 Relationship types'!$A$2:$A$201)</f>
        <v>4</v>
      </c>
      <c r="C19" s="3" t="n">
        <f aca="false">SUMPRODUCT(('1 Relationship types'!$D$2:$D$201&lt;&gt;"ok")*('1 Relationship types'!$A$2:$A$201&lt;&gt;""))</f>
        <v>0</v>
      </c>
    </row>
    <row r="20" customFormat="false" ht="15" hidden="false" customHeight="false" outlineLevel="0" collapsed="false">
      <c r="A20" s="3" t="s">
        <v>32</v>
      </c>
      <c r="B20" s="3" t="n">
        <f aca="false">COUNTA('2 Assets'!$A$2:$A$201)</f>
        <v>0</v>
      </c>
      <c r="C20" s="3" t="n">
        <f aca="false">SUMPRODUCT(('2 Assets'!$G$2:$G$201&lt;&gt;"ok")*('2 Assets'!$A$2:$A$201&lt;&gt;""))</f>
        <v>0</v>
      </c>
    </row>
    <row r="21" customFormat="false" ht="15" hidden="false" customHeight="false" outlineLevel="0" collapsed="false">
      <c r="A21" s="3" t="s">
        <v>33</v>
      </c>
      <c r="B21" s="3" t="n">
        <f aca="false">COUNTA('2 Measurements'!$A$2:$A$201)</f>
        <v>0</v>
      </c>
      <c r="C21" s="3" t="n">
        <f aca="false">SUMPRODUCT(('2 Measurements'!$I$2:$I$201&lt;&gt;"ok")*('2 Measurements'!$A$2:$A$201&lt;&gt;""))</f>
        <v>0</v>
      </c>
    </row>
    <row r="22" customFormat="false" ht="15" hidden="false" customHeight="false" outlineLevel="0" collapsed="false">
      <c r="A22" s="3" t="s">
        <v>34</v>
      </c>
      <c r="B22" s="3" t="n">
        <f aca="false">COUNTA('2 Relationships'!$A$2:$A$201)</f>
        <v>0</v>
      </c>
      <c r="C22" s="3" t="n">
        <f aca="false">SUMPRODUCT(('2 Relationships'!$D$2:$D$201&lt;&gt;"ok")*('2 Relationships'!$A$2:$A$201&lt;&gt;""))</f>
        <v>0</v>
      </c>
    </row>
    <row r="23" customFormat="false" ht="15" hidden="false" customHeight="false" outlineLevel="0" collapsed="false">
      <c r="A23" s="3" t="s">
        <v>35</v>
      </c>
      <c r="B23" s="3" t="n">
        <f aca="false">COUNTA('3 Bindings'!$A$2:$A$201)</f>
        <v>0</v>
      </c>
      <c r="C23" s="3" t="n">
        <f aca="false">SUMPRODUCT(('3 Bindings'!$E$2:$E$201&lt;&gt;"ok")*('3 Bindings'!$A$2:$A$201&lt;&gt;""))</f>
        <v>0</v>
      </c>
    </row>
    <row r="24" customFormat="false" ht="15" hidden="false" customHeight="false" outlineLevel="0" collapsed="false">
      <c r="A24" s="2" t="s">
        <v>36</v>
      </c>
      <c r="B24" s="3" t="n">
        <f aca="false">SUM(B17:B23)</f>
        <v>34</v>
      </c>
      <c r="C24" s="3" t="n">
        <f aca="false">SUM(C17:C23)</f>
        <v>0</v>
      </c>
    </row>
    <row r="25" customFormat="false" ht="15" hidden="false" customHeight="false" outlineLevel="0" collapsed="false">
      <c r="A25" s="2" t="s">
        <v>37</v>
      </c>
      <c r="B25" s="3" t="n">
        <f aca="false">COUNTIF('2 Measurements'!$H$2:$H$201,"not yet")</f>
        <v>0</v>
      </c>
      <c r="C25" s="3" t="s">
        <v>38</v>
      </c>
    </row>
    <row r="27" customFormat="false" ht="35.05" hidden="false" customHeight="false" outlineLevel="0" collapsed="false">
      <c r="A27" s="2" t="s">
        <v>39</v>
      </c>
      <c r="C27" s="4" t="s">
        <v>40</v>
      </c>
    </row>
    <row r="28" customFormat="false" ht="23.85" hidden="false" customHeight="false" outlineLevel="0" collapsed="false">
      <c r="A28" s="2" t="s">
        <v>41</v>
      </c>
      <c r="C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5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40"/>
  </cols>
  <sheetData>
    <row r="1" customFormat="false" ht="31.5" hidden="false" customHeight="tru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</row>
    <row r="2" customFormat="false" ht="15" hidden="false" customHeight="false" outlineLevel="0" collapsed="false">
      <c r="A2" s="9" t="s">
        <v>50</v>
      </c>
      <c r="B2" s="9"/>
      <c r="C2" s="9" t="s">
        <v>51</v>
      </c>
      <c r="D2" s="9" t="s">
        <v>52</v>
      </c>
      <c r="E2" s="9"/>
      <c r="F2" s="9"/>
      <c r="G2" s="10" t="str">
        <f aca="false">IF(A2="","",IF(SUMPRODUCT(--EXACT($A$2:$A$201,A2))&gt;1,"Duplicate type",IF(OR(B2="",SUMPRODUCT(--EXACT($A$2:$A$201,B2))&gt;0),IF(OR(E2="",E2="yes"),"ok","Top: type yes or leave blank"),"The type it extends is not in this list")))</f>
        <v>ok</v>
      </c>
    </row>
    <row r="3" customFormat="false" ht="15" hidden="false" customHeight="false" outlineLevel="0" collapsed="false">
      <c r="A3" s="9" t="s">
        <v>53</v>
      </c>
      <c r="B3" s="9"/>
      <c r="C3" s="9" t="s">
        <v>54</v>
      </c>
      <c r="D3" s="9" t="s">
        <v>52</v>
      </c>
      <c r="E3" s="9"/>
      <c r="F3" s="9"/>
      <c r="G3" s="10" t="str">
        <f aca="false">IF(A3="","",IF(SUMPRODUCT(--EXACT($A$2:$A$201,A3))&gt;1,"Duplicate type",IF(OR(B3="",SUMPRODUCT(--EXACT($A$2:$A$201,B3))&gt;0),IF(OR(E3="",E3="yes"),"ok","Top: type yes or leave blank"),"The type it extends is not in this list")))</f>
        <v>ok</v>
      </c>
    </row>
    <row r="4" customFormat="false" ht="15" hidden="false" customHeight="false" outlineLevel="0" collapsed="false">
      <c r="A4" s="9" t="s">
        <v>55</v>
      </c>
      <c r="B4" s="9"/>
      <c r="C4" s="9" t="s">
        <v>56</v>
      </c>
      <c r="D4" s="9" t="s">
        <v>52</v>
      </c>
      <c r="E4" s="9"/>
      <c r="F4" s="9"/>
      <c r="G4" s="10" t="str">
        <f aca="false">IF(A4="","",IF(SUMPRODUCT(--EXACT($A$2:$A$201,A4))&gt;1,"Duplicate type",IF(OR(B4="",SUMPRODUCT(--EXACT($A$2:$A$201,B4))&gt;0),IF(OR(E4="",E4="yes"),"ok","Top: type yes or leave blank"),"The type it extends is not in this list")))</f>
        <v>ok</v>
      </c>
    </row>
    <row r="5" customFormat="false" ht="15" hidden="false" customHeight="false" outlineLevel="0" collapsed="false">
      <c r="A5" s="9" t="s">
        <v>57</v>
      </c>
      <c r="B5" s="9" t="s">
        <v>50</v>
      </c>
      <c r="C5" s="9" t="s">
        <v>58</v>
      </c>
      <c r="D5" s="9" t="s">
        <v>52</v>
      </c>
      <c r="E5" s="9" t="s">
        <v>59</v>
      </c>
      <c r="F5" s="9" t="s">
        <v>60</v>
      </c>
      <c r="G5" s="10" t="str">
        <f aca="false">IF(A5="","",IF(SUMPRODUCT(--EXACT($A$2:$A$201,A5))&gt;1,"Duplicate type",IF(OR(B5="",SUMPRODUCT(--EXACT($A$2:$A$201,B5))&gt;0),IF(OR(E5="",E5="yes"),"ok","Top: type yes or leave blank"),"The type it extends is not in this list")))</f>
        <v>ok</v>
      </c>
    </row>
    <row r="6" customFormat="false" ht="15" hidden="false" customHeight="false" outlineLevel="0" collapsed="false">
      <c r="A6" s="9" t="s">
        <v>61</v>
      </c>
      <c r="B6" s="9" t="s">
        <v>50</v>
      </c>
      <c r="C6" s="9" t="s">
        <v>62</v>
      </c>
      <c r="D6" s="9" t="s">
        <v>52</v>
      </c>
      <c r="E6" s="9" t="s">
        <v>59</v>
      </c>
      <c r="F6" s="9"/>
      <c r="G6" s="10" t="str">
        <f aca="false">IF(A6="","",IF(SUMPRODUCT(--EXACT($A$2:$A$201,A6))&gt;1,"Duplicate type",IF(OR(B6="",SUMPRODUCT(--EXACT($A$2:$A$201,B6))&gt;0),IF(OR(E6="",E6="yes"),"ok","Top: type yes or leave blank"),"The type it extends is not in this list")))</f>
        <v>ok</v>
      </c>
    </row>
    <row r="7" customFormat="false" ht="15" hidden="false" customHeight="false" outlineLevel="0" collapsed="false">
      <c r="A7" s="9" t="s">
        <v>63</v>
      </c>
      <c r="B7" s="9" t="s">
        <v>53</v>
      </c>
      <c r="C7" s="9" t="s">
        <v>64</v>
      </c>
      <c r="D7" s="9" t="s">
        <v>52</v>
      </c>
      <c r="E7" s="9"/>
      <c r="F7" s="9" t="s">
        <v>60</v>
      </c>
      <c r="G7" s="10" t="str">
        <f aca="false">IF(A7="","",IF(SUMPRODUCT(--EXACT($A$2:$A$201,A7))&gt;1,"Duplicate type",IF(OR(B7="",SUMPRODUCT(--EXACT($A$2:$A$201,B7))&gt;0),IF(OR(E7="",E7="yes"),"ok","Top: type yes or leave blank"),"The type it extends is not in this list")))</f>
        <v>ok</v>
      </c>
    </row>
    <row r="8" customFormat="false" ht="15" hidden="false" customHeight="false" outlineLevel="0" collapsed="false">
      <c r="A8" s="9" t="s">
        <v>65</v>
      </c>
      <c r="B8" s="9" t="s">
        <v>53</v>
      </c>
      <c r="C8" s="9" t="s">
        <v>66</v>
      </c>
      <c r="D8" s="9" t="s">
        <v>52</v>
      </c>
      <c r="E8" s="9"/>
      <c r="F8" s="9" t="s">
        <v>67</v>
      </c>
      <c r="G8" s="10" t="str">
        <f aca="false">IF(A8="","",IF(SUMPRODUCT(--EXACT($A$2:$A$201,A8))&gt;1,"Duplicate type",IF(OR(B8="",SUMPRODUCT(--EXACT($A$2:$A$201,B8))&gt;0),IF(OR(E8="",E8="yes"),"ok","Top: type yes or leave blank"),"The type it extends is not in this list")))</f>
        <v>ok</v>
      </c>
    </row>
    <row r="9" customFormat="false" ht="15" hidden="false" customHeight="false" outlineLevel="0" collapsed="false">
      <c r="A9" s="9" t="s">
        <v>68</v>
      </c>
      <c r="B9" s="9" t="s">
        <v>65</v>
      </c>
      <c r="C9" s="9" t="s">
        <v>69</v>
      </c>
      <c r="D9" s="9" t="s">
        <v>52</v>
      </c>
      <c r="E9" s="9"/>
      <c r="F9" s="9" t="s">
        <v>70</v>
      </c>
      <c r="G9" s="10" t="str">
        <f aca="false">IF(A9="","",IF(SUMPRODUCT(--EXACT($A$2:$A$201,A9))&gt;1,"Duplicate type",IF(OR(B9="",SUMPRODUCT(--EXACT($A$2:$A$201,B9))&gt;0),IF(OR(E9="",E9="yes"),"ok","Top: type yes or leave blank"),"The type it extends is not in this list")))</f>
        <v>ok</v>
      </c>
    </row>
    <row r="10" customFormat="false" ht="15" hidden="false" customHeight="false" outlineLevel="0" collapsed="false">
      <c r="A10" s="9" t="s">
        <v>71</v>
      </c>
      <c r="B10" s="9" t="s">
        <v>65</v>
      </c>
      <c r="C10" s="9" t="s">
        <v>72</v>
      </c>
      <c r="D10" s="9" t="s">
        <v>52</v>
      </c>
      <c r="E10" s="9"/>
      <c r="F10" s="9" t="s">
        <v>73</v>
      </c>
      <c r="G10" s="10" t="str">
        <f aca="false">IF(A10="","",IF(SUMPRODUCT(--EXACT($A$2:$A$201,A10))&gt;1,"Duplicate type",IF(OR(B10="",SUMPRODUCT(--EXACT($A$2:$A$201,B10))&gt;0),IF(OR(E10="",E10="yes"),"ok","Top: type yes or leave blank"),"The type it extends is not in this list")))</f>
        <v>ok</v>
      </c>
    </row>
    <row r="11" customFormat="false" ht="15" hidden="false" customHeight="false" outlineLevel="0" collapsed="false">
      <c r="A11" s="9" t="s">
        <v>74</v>
      </c>
      <c r="B11" s="9" t="s">
        <v>65</v>
      </c>
      <c r="C11" s="9" t="s">
        <v>75</v>
      </c>
      <c r="D11" s="9" t="s">
        <v>52</v>
      </c>
      <c r="E11" s="9"/>
      <c r="F11" s="9" t="s">
        <v>70</v>
      </c>
      <c r="G11" s="10" t="str">
        <f aca="false">IF(A11="","",IF(SUMPRODUCT(--EXACT($A$2:$A$201,A11))&gt;1,"Duplicate type",IF(OR(B11="",SUMPRODUCT(--EXACT($A$2:$A$201,B11))&gt;0),IF(OR(E11="",E11="yes"),"ok","Top: type yes or leave blank"),"The type it extends is not in this list")))</f>
        <v>ok</v>
      </c>
    </row>
    <row r="12" customFormat="false" ht="15" hidden="false" customHeight="false" outlineLevel="0" collapsed="false">
      <c r="A12" s="9" t="s">
        <v>76</v>
      </c>
      <c r="B12" s="9" t="s">
        <v>55</v>
      </c>
      <c r="C12" s="9" t="s">
        <v>77</v>
      </c>
      <c r="D12" s="9" t="s">
        <v>52</v>
      </c>
      <c r="E12" s="9"/>
      <c r="F12" s="9" t="s">
        <v>78</v>
      </c>
      <c r="G12" s="10" t="str">
        <f aca="false">IF(A12="","",IF(SUMPRODUCT(--EXACT($A$2:$A$201,A12))&gt;1,"Duplicate type",IF(OR(B12="",SUMPRODUCT(--EXACT($A$2:$A$201,B12))&gt;0),IF(OR(E12="",E12="yes"),"ok","Top: type yes or leave blank"),"The type it extends is not in this list")))</f>
        <v>ok</v>
      </c>
    </row>
    <row r="13" customFormat="false" ht="15" hidden="false" customHeight="false" outlineLevel="0" collapsed="false">
      <c r="A13" s="9" t="s">
        <v>79</v>
      </c>
      <c r="B13" s="9" t="s">
        <v>68</v>
      </c>
      <c r="C13" s="9" t="s">
        <v>80</v>
      </c>
      <c r="D13" s="9" t="s">
        <v>81</v>
      </c>
      <c r="E13" s="9"/>
      <c r="F13" s="9"/>
      <c r="G13" s="10" t="str">
        <f aca="false">IF(A13="","",IF(SUMPRODUCT(--EXACT($A$2:$A$201,A13))&gt;1,"Duplicate type",IF(OR(B13="",SUMPRODUCT(--EXACT($A$2:$A$201,B13))&gt;0),IF(OR(E13="",E13="yes"),"ok","Top: type yes or leave blank"),"The type it extends is not in this list")))</f>
        <v>ok</v>
      </c>
    </row>
    <row r="14" customFormat="false" ht="15" hidden="false" customHeight="false" outlineLevel="0" collapsed="false">
      <c r="A14" s="9" t="s">
        <v>82</v>
      </c>
      <c r="B14" s="9" t="s">
        <v>74</v>
      </c>
      <c r="C14" s="9" t="s">
        <v>83</v>
      </c>
      <c r="D14" s="9" t="s">
        <v>81</v>
      </c>
      <c r="E14" s="9"/>
      <c r="F14" s="9"/>
      <c r="G14" s="10" t="str">
        <f aca="false">IF(A14="","",IF(SUMPRODUCT(--EXACT($A$2:$A$201,A14))&gt;1,"Duplicate type",IF(OR(B14="",SUMPRODUCT(--EXACT($A$2:$A$201,B14))&gt;0),IF(OR(E14="",E14="yes"),"ok","Top: type yes or leave blank"),"The type it extends is not in this list")))</f>
        <v>ok</v>
      </c>
    </row>
    <row r="15" customFormat="false" ht="15" hidden="false" customHeight="false" outlineLevel="0" collapsed="false">
      <c r="A15" s="9" t="s">
        <v>84</v>
      </c>
      <c r="B15" s="9" t="s">
        <v>65</v>
      </c>
      <c r="C15" s="9" t="s">
        <v>85</v>
      </c>
      <c r="D15" s="9" t="s">
        <v>81</v>
      </c>
      <c r="E15" s="9"/>
      <c r="F15" s="9"/>
      <c r="G15" s="10" t="str">
        <f aca="false">IF(A15="","",IF(SUMPRODUCT(--EXACT($A$2:$A$201,A15))&gt;1,"Duplicate type",IF(OR(B15="",SUMPRODUCT(--EXACT($A$2:$A$201,B15))&gt;0),IF(OR(E15="",E15="yes"),"ok","Top: type yes or leave blank"),"The type it extends is not in this list")))</f>
        <v>ok</v>
      </c>
    </row>
    <row r="16" customFormat="false" ht="15" hidden="false" customHeight="false" outlineLevel="0" collapsed="false">
      <c r="A16" s="9" t="s">
        <v>86</v>
      </c>
      <c r="B16" s="9" t="s">
        <v>65</v>
      </c>
      <c r="C16" s="9" t="s">
        <v>87</v>
      </c>
      <c r="D16" s="9" t="s">
        <v>81</v>
      </c>
      <c r="E16" s="9"/>
      <c r="F16" s="9"/>
      <c r="G16" s="10" t="str">
        <f aca="false">IF(A16="","",IF(SUMPRODUCT(--EXACT($A$2:$A$201,A16))&gt;1,"Duplicate type",IF(OR(B16="",SUMPRODUCT(--EXACT($A$2:$A$201,B16))&gt;0),IF(OR(E16="",E16="yes"),"ok","Top: type yes or leave blank"),"The type it extends is not in this list")))</f>
        <v>ok</v>
      </c>
    </row>
    <row r="17" customFormat="false" ht="15" hidden="false" customHeight="false" outlineLevel="0" collapsed="false">
      <c r="A17" s="9" t="s">
        <v>88</v>
      </c>
      <c r="B17" s="9" t="s">
        <v>65</v>
      </c>
      <c r="C17" s="9" t="s">
        <v>89</v>
      </c>
      <c r="D17" s="9" t="s">
        <v>81</v>
      </c>
      <c r="E17" s="9"/>
      <c r="F17" s="9"/>
      <c r="G17" s="10" t="str">
        <f aca="false">IF(A17="","",IF(SUMPRODUCT(--EXACT($A$2:$A$201,A17))&gt;1,"Duplicate type",IF(OR(B17="",SUMPRODUCT(--EXACT($A$2:$A$201,B17))&gt;0),IF(OR(E17="",E17="yes"),"ok","Top: type yes or leave blank"),"The type it extends is not in this list")))</f>
        <v>ok</v>
      </c>
    </row>
    <row r="18" customFormat="false" ht="15" hidden="false" customHeight="false" outlineLevel="0" collapsed="false">
      <c r="A18" s="9" t="s">
        <v>90</v>
      </c>
      <c r="B18" s="9" t="s">
        <v>65</v>
      </c>
      <c r="C18" s="9" t="s">
        <v>91</v>
      </c>
      <c r="D18" s="9" t="s">
        <v>81</v>
      </c>
      <c r="E18" s="9"/>
      <c r="F18" s="9"/>
      <c r="G18" s="10" t="str">
        <f aca="false">IF(A18="","",IF(SUMPRODUCT(--EXACT($A$2:$A$201,A18))&gt;1,"Duplicate type",IF(OR(B18="",SUMPRODUCT(--EXACT($A$2:$A$201,B18))&gt;0),IF(OR(E18="",E18="yes"),"ok","Top: type yes or leave blank"),"The type it extends is not in this list")))</f>
        <v>ok</v>
      </c>
    </row>
    <row r="19" customFormat="false" ht="15" hidden="false" customHeight="false" outlineLevel="0" collapsed="false">
      <c r="A19" s="9" t="s">
        <v>92</v>
      </c>
      <c r="B19" s="9" t="s">
        <v>65</v>
      </c>
      <c r="C19" s="9" t="s">
        <v>93</v>
      </c>
      <c r="D19" s="9" t="s">
        <v>81</v>
      </c>
      <c r="E19" s="9"/>
      <c r="F19" s="9"/>
      <c r="G19" s="10" t="str">
        <f aca="false">IF(A19="","",IF(SUMPRODUCT(--EXACT($A$2:$A$201,A19))&gt;1,"Duplicate type",IF(OR(B19="",SUMPRODUCT(--EXACT($A$2:$A$201,B19))&gt;0),IF(OR(E19="",E19="yes"),"ok","Top: type yes or leave blank"),"The type it extends is not in this list")))</f>
        <v>ok</v>
      </c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10" t="str">
        <f aca="false">IF(A20="","",IF(SUMPRODUCT(--EXACT($A$2:$A$201,A20))&gt;1,"Duplicate type",IF(OR(B20="",SUMPRODUCT(--EXACT($A$2:$A$201,B20))&gt;0),IF(OR(E20="",E20="yes"),"ok","Top: type yes or leave blank"),"The type it extends is not in this list")))</f>
        <v/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10" t="str">
        <f aca="false">IF(A21="","",IF(SUMPRODUCT(--EXACT($A$2:$A$201,A21))&gt;1,"Duplicate type",IF(OR(B21="",SUMPRODUCT(--EXACT($A$2:$A$201,B21))&gt;0),IF(OR(E21="",E21="yes"),"ok","Top: type yes or leave blank"),"The type it extends is not in this list")))</f>
        <v/>
      </c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10" t="str">
        <f aca="false">IF(A22="","",IF(SUMPRODUCT(--EXACT($A$2:$A$201,A22))&gt;1,"Duplicate type",IF(OR(B22="",SUMPRODUCT(--EXACT($A$2:$A$201,B22))&gt;0),IF(OR(E22="",E22="yes"),"ok","Top: type yes or leave blank"),"The type it extends is not in this list")))</f>
        <v/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10" t="str">
        <f aca="false">IF(A23="","",IF(SUMPRODUCT(--EXACT($A$2:$A$201,A23))&gt;1,"Duplicate type",IF(OR(B23="",SUMPRODUCT(--EXACT($A$2:$A$201,B23))&gt;0),IF(OR(E23="",E23="yes"),"ok","Top: type yes or leave blank"),"The type it extends is not in this list")))</f>
        <v/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10" t="str">
        <f aca="false">IF(A24="","",IF(SUMPRODUCT(--EXACT($A$2:$A$201,A24))&gt;1,"Duplicate type",IF(OR(B24="",SUMPRODUCT(--EXACT($A$2:$A$201,B24))&gt;0),IF(OR(E24="",E24="yes"),"ok","Top: type yes or leave blank"),"The type it extends is not in this list")))</f>
        <v/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10" t="str">
        <f aca="false">IF(A25="","",IF(SUMPRODUCT(--EXACT($A$2:$A$201,A25))&gt;1,"Duplicate type",IF(OR(B25="",SUMPRODUCT(--EXACT($A$2:$A$201,B25))&gt;0),IF(OR(E25="",E25="yes"),"ok","Top: type yes or leave blank"),"The type it extends is not in this list")))</f>
        <v/>
      </c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10" t="str">
        <f aca="false">IF(A26="","",IF(SUMPRODUCT(--EXACT($A$2:$A$201,A26))&gt;1,"Duplicate type",IF(OR(B26="",SUMPRODUCT(--EXACT($A$2:$A$201,B26))&gt;0),IF(OR(E26="",E26="yes"),"ok","Top: type yes or leave blank"),"The type it extends is not in this list")))</f>
        <v/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10" t="str">
        <f aca="false">IF(A27="","",IF(SUMPRODUCT(--EXACT($A$2:$A$201,A27))&gt;1,"Duplicate type",IF(OR(B27="",SUMPRODUCT(--EXACT($A$2:$A$201,B27))&gt;0),IF(OR(E27="",E27="yes"),"ok","Top: type yes or leave blank"),"The type it extends is not in this list")))</f>
        <v/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10" t="str">
        <f aca="false">IF(A28="","",IF(SUMPRODUCT(--EXACT($A$2:$A$201,A28))&gt;1,"Duplicate type",IF(OR(B28="",SUMPRODUCT(--EXACT($A$2:$A$201,B28))&gt;0),IF(OR(E28="",E28="yes"),"ok","Top: type yes or leave blank"),"The type it extends is not in this list")))</f>
        <v/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10" t="str">
        <f aca="false">IF(A29="","",IF(SUMPRODUCT(--EXACT($A$2:$A$201,A29))&gt;1,"Duplicate type",IF(OR(B29="",SUMPRODUCT(--EXACT($A$2:$A$201,B29))&gt;0),IF(OR(E29="",E29="yes"),"ok","Top: type yes or leave blank"),"The type it extends is not in this list")))</f>
        <v/>
      </c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10" t="str">
        <f aca="false">IF(A30="","",IF(SUMPRODUCT(--EXACT($A$2:$A$201,A30))&gt;1,"Duplicate type",IF(OR(B30="",SUMPRODUCT(--EXACT($A$2:$A$201,B30))&gt;0),IF(OR(E30="",E30="yes"),"ok","Top: type yes or leave blank"),"The type it extends is not in this list")))</f>
        <v/>
      </c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10" t="str">
        <f aca="false">IF(A31="","",IF(SUMPRODUCT(--EXACT($A$2:$A$201,A31))&gt;1,"Duplicate type",IF(OR(B31="",SUMPRODUCT(--EXACT($A$2:$A$201,B31))&gt;0),IF(OR(E31="",E31="yes"),"ok","Top: type yes or leave blank"),"The type it extends is not in this list")))</f>
        <v/>
      </c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10" t="str">
        <f aca="false">IF(A32="","",IF(SUMPRODUCT(--EXACT($A$2:$A$201,A32))&gt;1,"Duplicate type",IF(OR(B32="",SUMPRODUCT(--EXACT($A$2:$A$201,B32))&gt;0),IF(OR(E32="",E32="yes"),"ok","Top: type yes or leave blank"),"The type it extends is not in this list")))</f>
        <v/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10" t="str">
        <f aca="false">IF(A33="","",IF(SUMPRODUCT(--EXACT($A$2:$A$201,A33))&gt;1,"Duplicate type",IF(OR(B33="",SUMPRODUCT(--EXACT($A$2:$A$201,B33))&gt;0),IF(OR(E33="",E33="yes"),"ok","Top: type yes or leave blank"),"The type it extends is not in this list")))</f>
        <v/>
      </c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10" t="str">
        <f aca="false">IF(A34="","",IF(SUMPRODUCT(--EXACT($A$2:$A$201,A34))&gt;1,"Duplicate type",IF(OR(B34="",SUMPRODUCT(--EXACT($A$2:$A$201,B34))&gt;0),IF(OR(E34="",E34="yes"),"ok","Top: type yes or leave blank"),"The type it extends is not in this list")))</f>
        <v/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10" t="str">
        <f aca="false">IF(A35="","",IF(SUMPRODUCT(--EXACT($A$2:$A$201,A35))&gt;1,"Duplicate type",IF(OR(B35="",SUMPRODUCT(--EXACT($A$2:$A$201,B35))&gt;0),IF(OR(E35="",E35="yes"),"ok","Top: type yes or leave blank"),"The type it extends is not in this list")))</f>
        <v/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10" t="str">
        <f aca="false">IF(A36="","",IF(SUMPRODUCT(--EXACT($A$2:$A$201,A36))&gt;1,"Duplicate type",IF(OR(B36="",SUMPRODUCT(--EXACT($A$2:$A$201,B36))&gt;0),IF(OR(E36="",E36="yes"),"ok","Top: type yes or leave blank"),"The type it extends is not in this list")))</f>
        <v/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10" t="str">
        <f aca="false">IF(A37="","",IF(SUMPRODUCT(--EXACT($A$2:$A$201,A37))&gt;1,"Duplicate type",IF(OR(B37="",SUMPRODUCT(--EXACT($A$2:$A$201,B37))&gt;0),IF(OR(E37="",E37="yes"),"ok","Top: type yes or leave blank"),"The type it extends is not in this list")))</f>
        <v/>
      </c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10" t="str">
        <f aca="false">IF(A38="","",IF(SUMPRODUCT(--EXACT($A$2:$A$201,A38))&gt;1,"Duplicate type",IF(OR(B38="",SUMPRODUCT(--EXACT($A$2:$A$201,B38))&gt;0),IF(OR(E38="",E38="yes"),"ok","Top: type yes or leave blank"),"The type it extends is not in this list")))</f>
        <v/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10" t="str">
        <f aca="false">IF(A39="","",IF(SUMPRODUCT(--EXACT($A$2:$A$201,A39))&gt;1,"Duplicate type",IF(OR(B39="",SUMPRODUCT(--EXACT($A$2:$A$201,B39))&gt;0),IF(OR(E39="",E39="yes"),"ok","Top: type yes or leave blank"),"The type it extends is not in this list")))</f>
        <v/>
      </c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10" t="str">
        <f aca="false">IF(A40="","",IF(SUMPRODUCT(--EXACT($A$2:$A$201,A40))&gt;1,"Duplicate type",IF(OR(B40="",SUMPRODUCT(--EXACT($A$2:$A$201,B40))&gt;0),IF(OR(E40="",E40="yes"),"ok","Top: type yes or leave blank"),"The type it extends is not in this list")))</f>
        <v/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10" t="str">
        <f aca="false">IF(A41="","",IF(SUMPRODUCT(--EXACT($A$2:$A$201,A41))&gt;1,"Duplicate type",IF(OR(B41="",SUMPRODUCT(--EXACT($A$2:$A$201,B41))&gt;0),IF(OR(E41="",E41="yes"),"ok","Top: type yes or leave blank"),"The type it extends is not in this list")))</f>
        <v/>
      </c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10" t="str">
        <f aca="false">IF(A42="","",IF(SUMPRODUCT(--EXACT($A$2:$A$201,A42))&gt;1,"Duplicate type",IF(OR(B42="",SUMPRODUCT(--EXACT($A$2:$A$201,B42))&gt;0),IF(OR(E42="",E42="yes"),"ok","Top: type yes or leave blank"),"The type it extends is not in this list")))</f>
        <v/>
      </c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10" t="str">
        <f aca="false">IF(A43="","",IF(SUMPRODUCT(--EXACT($A$2:$A$201,A43))&gt;1,"Duplicate type",IF(OR(B43="",SUMPRODUCT(--EXACT($A$2:$A$201,B43))&gt;0),IF(OR(E43="",E43="yes"),"ok","Top: type yes or leave blank"),"The type it extends is not in this list")))</f>
        <v/>
      </c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10" t="str">
        <f aca="false">IF(A44="","",IF(SUMPRODUCT(--EXACT($A$2:$A$201,A44))&gt;1,"Duplicate type",IF(OR(B44="",SUMPRODUCT(--EXACT($A$2:$A$201,B44))&gt;0),IF(OR(E44="",E44="yes"),"ok","Top: type yes or leave blank"),"The type it extends is not in this list")))</f>
        <v/>
      </c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10" t="str">
        <f aca="false">IF(A45="","",IF(SUMPRODUCT(--EXACT($A$2:$A$201,A45))&gt;1,"Duplicate type",IF(OR(B45="",SUMPRODUCT(--EXACT($A$2:$A$201,B45))&gt;0),IF(OR(E45="",E45="yes"),"ok","Top: type yes or leave blank"),"The type it extends is not in this list")))</f>
        <v/>
      </c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10" t="str">
        <f aca="false">IF(A46="","",IF(SUMPRODUCT(--EXACT($A$2:$A$201,A46))&gt;1,"Duplicate type",IF(OR(B46="",SUMPRODUCT(--EXACT($A$2:$A$201,B46))&gt;0),IF(OR(E46="",E46="yes"),"ok","Top: type yes or leave blank"),"The type it extends is not in this list")))</f>
        <v/>
      </c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10" t="str">
        <f aca="false">IF(A47="","",IF(SUMPRODUCT(--EXACT($A$2:$A$201,A47))&gt;1,"Duplicate type",IF(OR(B47="",SUMPRODUCT(--EXACT($A$2:$A$201,B47))&gt;0),IF(OR(E47="",E47="yes"),"ok","Top: type yes or leave blank"),"The type it extends is not in this list")))</f>
        <v/>
      </c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10" t="str">
        <f aca="false">IF(A48="","",IF(SUMPRODUCT(--EXACT($A$2:$A$201,A48))&gt;1,"Duplicate type",IF(OR(B48="",SUMPRODUCT(--EXACT($A$2:$A$201,B48))&gt;0),IF(OR(E48="",E48="yes"),"ok","Top: type yes or leave blank"),"The type it extends is not in this list")))</f>
        <v/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10" t="str">
        <f aca="false">IF(A49="","",IF(SUMPRODUCT(--EXACT($A$2:$A$201,A49))&gt;1,"Duplicate type",IF(OR(B49="",SUMPRODUCT(--EXACT($A$2:$A$201,B49))&gt;0),IF(OR(E49="",E49="yes"),"ok","Top: type yes or leave blank"),"The type it extends is not in this list")))</f>
        <v/>
      </c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10" t="str">
        <f aca="false">IF(A50="","",IF(SUMPRODUCT(--EXACT($A$2:$A$201,A50))&gt;1,"Duplicate type",IF(OR(B50="",SUMPRODUCT(--EXACT($A$2:$A$201,B50))&gt;0),IF(OR(E50="",E50="yes"),"ok","Top: type yes or leave blank"),"The type it extends is not in this list")))</f>
        <v/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10" t="str">
        <f aca="false">IF(A51="","",IF(SUMPRODUCT(--EXACT($A$2:$A$201,A51))&gt;1,"Duplicate type",IF(OR(B51="",SUMPRODUCT(--EXACT($A$2:$A$201,B51))&gt;0),IF(OR(E51="",E51="yes"),"ok","Top: type yes or leave blank"),"The type it extends is not in this list")))</f>
        <v/>
      </c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10" t="str">
        <f aca="false">IF(A52="","",IF(SUMPRODUCT(--EXACT($A$2:$A$201,A52))&gt;1,"Duplicate type",IF(OR(B52="",SUMPRODUCT(--EXACT($A$2:$A$201,B52))&gt;0),IF(OR(E52="",E52="yes"),"ok","Top: type yes or leave blank"),"The type it extends is not in this list")))</f>
        <v/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10" t="str">
        <f aca="false">IF(A53="","",IF(SUMPRODUCT(--EXACT($A$2:$A$201,A53))&gt;1,"Duplicate type",IF(OR(B53="",SUMPRODUCT(--EXACT($A$2:$A$201,B53))&gt;0),IF(OR(E53="",E53="yes"),"ok","Top: type yes or leave blank"),"The type it extends is not in this list")))</f>
        <v/>
      </c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10" t="str">
        <f aca="false">IF(A54="","",IF(SUMPRODUCT(--EXACT($A$2:$A$201,A54))&gt;1,"Duplicate type",IF(OR(B54="",SUMPRODUCT(--EXACT($A$2:$A$201,B54))&gt;0),IF(OR(E54="",E54="yes"),"ok","Top: type yes or leave blank"),"The type it extends is not in this list")))</f>
        <v/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10" t="str">
        <f aca="false">IF(A55="","",IF(SUMPRODUCT(--EXACT($A$2:$A$201,A55))&gt;1,"Duplicate type",IF(OR(B55="",SUMPRODUCT(--EXACT($A$2:$A$201,B55))&gt;0),IF(OR(E55="",E55="yes"),"ok","Top: type yes or leave blank"),"The type it extends is not in this list")))</f>
        <v/>
      </c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10" t="str">
        <f aca="false">IF(A56="","",IF(SUMPRODUCT(--EXACT($A$2:$A$201,A56))&gt;1,"Duplicate type",IF(OR(B56="",SUMPRODUCT(--EXACT($A$2:$A$201,B56))&gt;0),IF(OR(E56="",E56="yes"),"ok","Top: type yes or leave blank"),"The type it extends is not in this list")))</f>
        <v/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10" t="str">
        <f aca="false">IF(A57="","",IF(SUMPRODUCT(--EXACT($A$2:$A$201,A57))&gt;1,"Duplicate type",IF(OR(B57="",SUMPRODUCT(--EXACT($A$2:$A$201,B57))&gt;0),IF(OR(E57="",E57="yes"),"ok","Top: type yes or leave blank"),"The type it extends is not in this list")))</f>
        <v/>
      </c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10" t="str">
        <f aca="false">IF(A58="","",IF(SUMPRODUCT(--EXACT($A$2:$A$201,A58))&gt;1,"Duplicate type",IF(OR(B58="",SUMPRODUCT(--EXACT($A$2:$A$201,B58))&gt;0),IF(OR(E58="",E58="yes"),"ok","Top: type yes or leave blank"),"The type it extends is not in this list")))</f>
        <v/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10" t="str">
        <f aca="false">IF(A59="","",IF(SUMPRODUCT(--EXACT($A$2:$A$201,A59))&gt;1,"Duplicate type",IF(OR(B59="",SUMPRODUCT(--EXACT($A$2:$A$201,B59))&gt;0),IF(OR(E59="",E59="yes"),"ok","Top: type yes or leave blank"),"The type it extends is not in this list")))</f>
        <v/>
      </c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10" t="str">
        <f aca="false">IF(A60="","",IF(SUMPRODUCT(--EXACT($A$2:$A$201,A60))&gt;1,"Duplicate type",IF(OR(B60="",SUMPRODUCT(--EXACT($A$2:$A$201,B60))&gt;0),IF(OR(E60="",E60="yes"),"ok","Top: type yes or leave blank"),"The type it extends is not in this list")))</f>
        <v/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10" t="str">
        <f aca="false">IF(A61="","",IF(SUMPRODUCT(--EXACT($A$2:$A$201,A61))&gt;1,"Duplicate type",IF(OR(B61="",SUMPRODUCT(--EXACT($A$2:$A$201,B61))&gt;0),IF(OR(E61="",E61="yes"),"ok","Top: type yes or leave blank"),"The type it extends is not in this list")))</f>
        <v/>
      </c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10" t="str">
        <f aca="false">IF(A62="","",IF(SUMPRODUCT(--EXACT($A$2:$A$201,A62))&gt;1,"Duplicate type",IF(OR(B62="",SUMPRODUCT(--EXACT($A$2:$A$201,B62))&gt;0),IF(OR(E62="",E62="yes"),"ok","Top: type yes or leave blank"),"The type it extends is not in this list")))</f>
        <v/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10" t="str">
        <f aca="false">IF(A63="","",IF(SUMPRODUCT(--EXACT($A$2:$A$201,A63))&gt;1,"Duplicate type",IF(OR(B63="",SUMPRODUCT(--EXACT($A$2:$A$201,B63))&gt;0),IF(OR(E63="",E63="yes"),"ok","Top: type yes or leave blank"),"The type it extends is not in this list")))</f>
        <v/>
      </c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10" t="str">
        <f aca="false">IF(A64="","",IF(SUMPRODUCT(--EXACT($A$2:$A$201,A64))&gt;1,"Duplicate type",IF(OR(B64="",SUMPRODUCT(--EXACT($A$2:$A$201,B64))&gt;0),IF(OR(E64="",E64="yes"),"ok","Top: type yes or leave blank"),"The type it extends is not in this list")))</f>
        <v/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10" t="str">
        <f aca="false">IF(A65="","",IF(SUMPRODUCT(--EXACT($A$2:$A$201,A65))&gt;1,"Duplicate type",IF(OR(B65="",SUMPRODUCT(--EXACT($A$2:$A$201,B65))&gt;0),IF(OR(E65="",E65="yes"),"ok","Top: type yes or leave blank"),"The type it extends is not in this list")))</f>
        <v/>
      </c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10" t="str">
        <f aca="false">IF(A66="","",IF(SUMPRODUCT(--EXACT($A$2:$A$201,A66))&gt;1,"Duplicate type",IF(OR(B66="",SUMPRODUCT(--EXACT($A$2:$A$201,B66))&gt;0),IF(OR(E66="",E66="yes"),"ok","Top: type yes or leave blank"),"The type it extends is not in this list")))</f>
        <v/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10" t="str">
        <f aca="false">IF(A67="","",IF(SUMPRODUCT(--EXACT($A$2:$A$201,A67))&gt;1,"Duplicate type",IF(OR(B67="",SUMPRODUCT(--EXACT($A$2:$A$201,B67))&gt;0),IF(OR(E67="",E67="yes"),"ok","Top: type yes or leave blank"),"The type it extends is not in this list")))</f>
        <v/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10" t="str">
        <f aca="false">IF(A68="","",IF(SUMPRODUCT(--EXACT($A$2:$A$201,A68))&gt;1,"Duplicate type",IF(OR(B68="",SUMPRODUCT(--EXACT($A$2:$A$201,B68))&gt;0),IF(OR(E68="",E68="yes"),"ok","Top: type yes or leave blank"),"The type it extends is not in this list")))</f>
        <v/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10" t="str">
        <f aca="false">IF(A69="","",IF(SUMPRODUCT(--EXACT($A$2:$A$201,A69))&gt;1,"Duplicate type",IF(OR(B69="",SUMPRODUCT(--EXACT($A$2:$A$201,B69))&gt;0),IF(OR(E69="",E69="yes"),"ok","Top: type yes or leave blank"),"The type it extends is not in this list")))</f>
        <v/>
      </c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10" t="str">
        <f aca="false">IF(A70="","",IF(SUMPRODUCT(--EXACT($A$2:$A$201,A70))&gt;1,"Duplicate type",IF(OR(B70="",SUMPRODUCT(--EXACT($A$2:$A$201,B70))&gt;0),IF(OR(E70="",E70="yes"),"ok","Top: type yes or leave blank"),"The type it extends is not in this list")))</f>
        <v/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10" t="str">
        <f aca="false">IF(A71="","",IF(SUMPRODUCT(--EXACT($A$2:$A$201,A71))&gt;1,"Duplicate type",IF(OR(B71="",SUMPRODUCT(--EXACT($A$2:$A$201,B71))&gt;0),IF(OR(E71="",E71="yes"),"ok","Top: type yes or leave blank"),"The type it extends is not in this list")))</f>
        <v/>
      </c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10" t="str">
        <f aca="false">IF(A72="","",IF(SUMPRODUCT(--EXACT($A$2:$A$201,A72))&gt;1,"Duplicate type",IF(OR(B72="",SUMPRODUCT(--EXACT($A$2:$A$201,B72))&gt;0),IF(OR(E72="",E72="yes"),"ok","Top: type yes or leave blank"),"The type it extends is not in this list")))</f>
        <v/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10" t="str">
        <f aca="false">IF(A73="","",IF(SUMPRODUCT(--EXACT($A$2:$A$201,A73))&gt;1,"Duplicate type",IF(OR(B73="",SUMPRODUCT(--EXACT($A$2:$A$201,B73))&gt;0),IF(OR(E73="",E73="yes"),"ok","Top: type yes or leave blank"),"The type it extends is not in this list")))</f>
        <v/>
      </c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10" t="str">
        <f aca="false">IF(A74="","",IF(SUMPRODUCT(--EXACT($A$2:$A$201,A74))&gt;1,"Duplicate type",IF(OR(B74="",SUMPRODUCT(--EXACT($A$2:$A$201,B74))&gt;0),IF(OR(E74="",E74="yes"),"ok","Top: type yes or leave blank"),"The type it extends is not in this list")))</f>
        <v/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10" t="str">
        <f aca="false">IF(A75="","",IF(SUMPRODUCT(--EXACT($A$2:$A$201,A75))&gt;1,"Duplicate type",IF(OR(B75="",SUMPRODUCT(--EXACT($A$2:$A$201,B75))&gt;0),IF(OR(E75="",E75="yes"),"ok","Top: type yes or leave blank"),"The type it extends is not in this list")))</f>
        <v/>
      </c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10" t="str">
        <f aca="false">IF(A76="","",IF(SUMPRODUCT(--EXACT($A$2:$A$201,A76))&gt;1,"Duplicate type",IF(OR(B76="",SUMPRODUCT(--EXACT($A$2:$A$201,B76))&gt;0),IF(OR(E76="",E76="yes"),"ok","Top: type yes or leave blank"),"The type it extends is not in this list")))</f>
        <v/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10" t="str">
        <f aca="false">IF(A77="","",IF(SUMPRODUCT(--EXACT($A$2:$A$201,A77))&gt;1,"Duplicate type",IF(OR(B77="",SUMPRODUCT(--EXACT($A$2:$A$201,B77))&gt;0),IF(OR(E77="",E77="yes"),"ok","Top: type yes or leave blank"),"The type it extends is not in this list")))</f>
        <v/>
      </c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10" t="str">
        <f aca="false">IF(A78="","",IF(SUMPRODUCT(--EXACT($A$2:$A$201,A78))&gt;1,"Duplicate type",IF(OR(B78="",SUMPRODUCT(--EXACT($A$2:$A$201,B78))&gt;0),IF(OR(E78="",E78="yes"),"ok","Top: type yes or leave blank"),"The type it extends is not in this list")))</f>
        <v/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10" t="str">
        <f aca="false">IF(A79="","",IF(SUMPRODUCT(--EXACT($A$2:$A$201,A79))&gt;1,"Duplicate type",IF(OR(B79="",SUMPRODUCT(--EXACT($A$2:$A$201,B79))&gt;0),IF(OR(E79="",E79="yes"),"ok","Top: type yes or leave blank"),"The type it extends is not in this list")))</f>
        <v/>
      </c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10" t="str">
        <f aca="false">IF(A80="","",IF(SUMPRODUCT(--EXACT($A$2:$A$201,A80))&gt;1,"Duplicate type",IF(OR(B80="",SUMPRODUCT(--EXACT($A$2:$A$201,B80))&gt;0),IF(OR(E80="",E80="yes"),"ok","Top: type yes or leave blank"),"The type it extends is not in this list")))</f>
        <v/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10" t="str">
        <f aca="false">IF(A81="","",IF(SUMPRODUCT(--EXACT($A$2:$A$201,A81))&gt;1,"Duplicate type",IF(OR(B81="",SUMPRODUCT(--EXACT($A$2:$A$201,B81))&gt;0),IF(OR(E81="",E81="yes"),"ok","Top: type yes or leave blank"),"The type it extends is not in this list")))</f>
        <v/>
      </c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10" t="str">
        <f aca="false">IF(A82="","",IF(SUMPRODUCT(--EXACT($A$2:$A$201,A82))&gt;1,"Duplicate type",IF(OR(B82="",SUMPRODUCT(--EXACT($A$2:$A$201,B82))&gt;0),IF(OR(E82="",E82="yes"),"ok","Top: type yes or leave blank"),"The type it extends is not in this list")))</f>
        <v/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10" t="str">
        <f aca="false">IF(A83="","",IF(SUMPRODUCT(--EXACT($A$2:$A$201,A83))&gt;1,"Duplicate type",IF(OR(B83="",SUMPRODUCT(--EXACT($A$2:$A$201,B83))&gt;0),IF(OR(E83="",E83="yes"),"ok","Top: type yes or leave blank"),"The type it extends is not in this list")))</f>
        <v/>
      </c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10" t="str">
        <f aca="false">IF(A84="","",IF(SUMPRODUCT(--EXACT($A$2:$A$201,A84))&gt;1,"Duplicate type",IF(OR(B84="",SUMPRODUCT(--EXACT($A$2:$A$201,B84))&gt;0),IF(OR(E84="",E84="yes"),"ok","Top: type yes or leave blank"),"The type it extends is not in this list")))</f>
        <v/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10" t="str">
        <f aca="false">IF(A85="","",IF(SUMPRODUCT(--EXACT($A$2:$A$201,A85))&gt;1,"Duplicate type",IF(OR(B85="",SUMPRODUCT(--EXACT($A$2:$A$201,B85))&gt;0),IF(OR(E85="",E85="yes"),"ok","Top: type yes or leave blank"),"The type it extends is not in this list")))</f>
        <v/>
      </c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10" t="str">
        <f aca="false">IF(A86="","",IF(SUMPRODUCT(--EXACT($A$2:$A$201,A86))&gt;1,"Duplicate type",IF(OR(B86="",SUMPRODUCT(--EXACT($A$2:$A$201,B86))&gt;0),IF(OR(E86="",E86="yes"),"ok","Top: type yes or leave blank"),"The type it extends is not in this list")))</f>
        <v/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10" t="str">
        <f aca="false">IF(A87="","",IF(SUMPRODUCT(--EXACT($A$2:$A$201,A87))&gt;1,"Duplicate type",IF(OR(B87="",SUMPRODUCT(--EXACT($A$2:$A$201,B87))&gt;0),IF(OR(E87="",E87="yes"),"ok","Top: type yes or leave blank"),"The type it extends is not in this list")))</f>
        <v/>
      </c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10" t="str">
        <f aca="false">IF(A88="","",IF(SUMPRODUCT(--EXACT($A$2:$A$201,A88))&gt;1,"Duplicate type",IF(OR(B88="",SUMPRODUCT(--EXACT($A$2:$A$201,B88))&gt;0),IF(OR(E88="",E88="yes"),"ok","Top: type yes or leave blank"),"The type it extends is not in this list")))</f>
        <v/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10" t="str">
        <f aca="false">IF(A89="","",IF(SUMPRODUCT(--EXACT($A$2:$A$201,A89))&gt;1,"Duplicate type",IF(OR(B89="",SUMPRODUCT(--EXACT($A$2:$A$201,B89))&gt;0),IF(OR(E89="",E89="yes"),"ok","Top: type yes or leave blank"),"The type it extends is not in this list")))</f>
        <v/>
      </c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10" t="str">
        <f aca="false">IF(A90="","",IF(SUMPRODUCT(--EXACT($A$2:$A$201,A90))&gt;1,"Duplicate type",IF(OR(B90="",SUMPRODUCT(--EXACT($A$2:$A$201,B90))&gt;0),IF(OR(E90="",E90="yes"),"ok","Top: type yes or leave blank"),"The type it extends is not in this list")))</f>
        <v/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10" t="str">
        <f aca="false">IF(A91="","",IF(SUMPRODUCT(--EXACT($A$2:$A$201,A91))&gt;1,"Duplicate type",IF(OR(B91="",SUMPRODUCT(--EXACT($A$2:$A$201,B91))&gt;0),IF(OR(E91="",E91="yes"),"ok","Top: type yes or leave blank"),"The type it extends is not in this list")))</f>
        <v/>
      </c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10" t="str">
        <f aca="false">IF(A92="","",IF(SUMPRODUCT(--EXACT($A$2:$A$201,A92))&gt;1,"Duplicate type",IF(OR(B92="",SUMPRODUCT(--EXACT($A$2:$A$201,B92))&gt;0),IF(OR(E92="",E92="yes"),"ok","Top: type yes or leave blank"),"The type it extends is not in this list")))</f>
        <v/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10" t="str">
        <f aca="false">IF(A93="","",IF(SUMPRODUCT(--EXACT($A$2:$A$201,A93))&gt;1,"Duplicate type",IF(OR(B93="",SUMPRODUCT(--EXACT($A$2:$A$201,B93))&gt;0),IF(OR(E93="",E93="yes"),"ok","Top: type yes or leave blank"),"The type it extends is not in this list")))</f>
        <v/>
      </c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10" t="str">
        <f aca="false">IF(A94="","",IF(SUMPRODUCT(--EXACT($A$2:$A$201,A94))&gt;1,"Duplicate type",IF(OR(B94="",SUMPRODUCT(--EXACT($A$2:$A$201,B94))&gt;0),IF(OR(E94="",E94="yes"),"ok","Top: type yes or leave blank"),"The type it extends is not in this list")))</f>
        <v/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10" t="str">
        <f aca="false">IF(A95="","",IF(SUMPRODUCT(--EXACT($A$2:$A$201,A95))&gt;1,"Duplicate type",IF(OR(B95="",SUMPRODUCT(--EXACT($A$2:$A$201,B95))&gt;0),IF(OR(E95="",E95="yes"),"ok","Top: type yes or leave blank"),"The type it extends is not in this list")))</f>
        <v/>
      </c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10" t="str">
        <f aca="false">IF(A96="","",IF(SUMPRODUCT(--EXACT($A$2:$A$201,A96))&gt;1,"Duplicate type",IF(OR(B96="",SUMPRODUCT(--EXACT($A$2:$A$201,B96))&gt;0),IF(OR(E96="",E96="yes"),"ok","Top: type yes or leave blank"),"The type it extends is not in this list")))</f>
        <v/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10" t="str">
        <f aca="false">IF(A97="","",IF(SUMPRODUCT(--EXACT($A$2:$A$201,A97))&gt;1,"Duplicate type",IF(OR(B97="",SUMPRODUCT(--EXACT($A$2:$A$201,B97))&gt;0),IF(OR(E97="",E97="yes"),"ok","Top: type yes or leave blank"),"The type it extends is not in this list")))</f>
        <v/>
      </c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10" t="str">
        <f aca="false">IF(A98="","",IF(SUMPRODUCT(--EXACT($A$2:$A$201,A98))&gt;1,"Duplicate type",IF(OR(B98="",SUMPRODUCT(--EXACT($A$2:$A$201,B98))&gt;0),IF(OR(E98="",E98="yes"),"ok","Top: type yes or leave blank"),"The type it extends is not in this list")))</f>
        <v/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10" t="str">
        <f aca="false">IF(A99="","",IF(SUMPRODUCT(--EXACT($A$2:$A$201,A99))&gt;1,"Duplicate type",IF(OR(B99="",SUMPRODUCT(--EXACT($A$2:$A$201,B99))&gt;0),IF(OR(E99="",E99="yes"),"ok","Top: type yes or leave blank"),"The type it extends is not in this list")))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10" t="str">
        <f aca="false">IF(A100="","",IF(SUMPRODUCT(--EXACT($A$2:$A$201,A100))&gt;1,"Duplicate type",IF(OR(B100="",SUMPRODUCT(--EXACT($A$2:$A$201,B100))&gt;0),IF(OR(E100="",E100="yes"),"ok","Top: type yes or leave blank"),"The type it extends is not in this list")))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10" t="str">
        <f aca="false">IF(A101="","",IF(SUMPRODUCT(--EXACT($A$2:$A$201,A101))&gt;1,"Duplicate type",IF(OR(B101="",SUMPRODUCT(--EXACT($A$2:$A$201,B101))&gt;0),IF(OR(E101="",E101="yes"),"ok","Top: type yes or leave blank"),"The type it extends is not in this list")))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10" t="str">
        <f aca="false">IF(A102="","",IF(SUMPRODUCT(--EXACT($A$2:$A$201,A102))&gt;1,"Duplicate type",IF(OR(B102="",SUMPRODUCT(--EXACT($A$2:$A$201,B102))&gt;0),IF(OR(E102="",E102="yes"),"ok","Top: type yes or leave blank"),"The type it extends is not in this list")))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10" t="str">
        <f aca="false">IF(A103="","",IF(SUMPRODUCT(--EXACT($A$2:$A$201,A103))&gt;1,"Duplicate type",IF(OR(B103="",SUMPRODUCT(--EXACT($A$2:$A$201,B103))&gt;0),IF(OR(E103="",E103="yes"),"ok","Top: type yes or leave blank"),"The type it extends is not in this list")))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10" t="str">
        <f aca="false">IF(A104="","",IF(SUMPRODUCT(--EXACT($A$2:$A$201,A104))&gt;1,"Duplicate type",IF(OR(B104="",SUMPRODUCT(--EXACT($A$2:$A$201,B104))&gt;0),IF(OR(E104="",E104="yes"),"ok","Top: type yes or leave blank"),"The type it extends is not in this list")))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10" t="str">
        <f aca="false">IF(A105="","",IF(SUMPRODUCT(--EXACT($A$2:$A$201,A105))&gt;1,"Duplicate type",IF(OR(B105="",SUMPRODUCT(--EXACT($A$2:$A$201,B105))&gt;0),IF(OR(E105="",E105="yes"),"ok","Top: type yes or leave blank"),"The type it extends is not in this list")))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10" t="str">
        <f aca="false">IF(A106="","",IF(SUMPRODUCT(--EXACT($A$2:$A$201,A106))&gt;1,"Duplicate type",IF(OR(B106="",SUMPRODUCT(--EXACT($A$2:$A$201,B106))&gt;0),IF(OR(E106="",E106="yes"),"ok","Top: type yes or leave blank"),"The type it extends is not in this list")))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10" t="str">
        <f aca="false">IF(A107="","",IF(SUMPRODUCT(--EXACT($A$2:$A$201,A107))&gt;1,"Duplicate type",IF(OR(B107="",SUMPRODUCT(--EXACT($A$2:$A$201,B107))&gt;0),IF(OR(E107="",E107="yes"),"ok","Top: type yes or leave blank"),"The type it extends is not in this list")))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10" t="str">
        <f aca="false">IF(A108="","",IF(SUMPRODUCT(--EXACT($A$2:$A$201,A108))&gt;1,"Duplicate type",IF(OR(B108="",SUMPRODUCT(--EXACT($A$2:$A$201,B108))&gt;0),IF(OR(E108="",E108="yes"),"ok","Top: type yes or leave blank"),"The type it extends is not in this list")))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10" t="str">
        <f aca="false">IF(A109="","",IF(SUMPRODUCT(--EXACT($A$2:$A$201,A109))&gt;1,"Duplicate type",IF(OR(B109="",SUMPRODUCT(--EXACT($A$2:$A$201,B109))&gt;0),IF(OR(E109="",E109="yes"),"ok","Top: type yes or leave blank"),"The type it extends is not in this list")))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10" t="str">
        <f aca="false">IF(A110="","",IF(SUMPRODUCT(--EXACT($A$2:$A$201,A110))&gt;1,"Duplicate type",IF(OR(B110="",SUMPRODUCT(--EXACT($A$2:$A$201,B110))&gt;0),IF(OR(E110="",E110="yes"),"ok","Top: type yes or leave blank"),"The type it extends is not in this list")))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10" t="str">
        <f aca="false">IF(A111="","",IF(SUMPRODUCT(--EXACT($A$2:$A$201,A111))&gt;1,"Duplicate type",IF(OR(B111="",SUMPRODUCT(--EXACT($A$2:$A$201,B111))&gt;0),IF(OR(E111="",E111="yes"),"ok","Top: type yes or leave blank"),"The type it extends is not in this list")))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10" t="str">
        <f aca="false">IF(A112="","",IF(SUMPRODUCT(--EXACT($A$2:$A$201,A112))&gt;1,"Duplicate type",IF(OR(B112="",SUMPRODUCT(--EXACT($A$2:$A$201,B112))&gt;0),IF(OR(E112="",E112="yes"),"ok","Top: type yes or leave blank"),"The type it extends is not in this list")))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10" t="str">
        <f aca="false">IF(A113="","",IF(SUMPRODUCT(--EXACT($A$2:$A$201,A113))&gt;1,"Duplicate type",IF(OR(B113="",SUMPRODUCT(--EXACT($A$2:$A$201,B113))&gt;0),IF(OR(E113="",E113="yes"),"ok","Top: type yes or leave blank"),"The type it extends is not in this list")))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10" t="str">
        <f aca="false">IF(A114="","",IF(SUMPRODUCT(--EXACT($A$2:$A$201,A114))&gt;1,"Duplicate type",IF(OR(B114="",SUMPRODUCT(--EXACT($A$2:$A$201,B114))&gt;0),IF(OR(E114="",E114="yes"),"ok","Top: type yes or leave blank"),"The type it extends is not in this list")))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10" t="str">
        <f aca="false">IF(A115="","",IF(SUMPRODUCT(--EXACT($A$2:$A$201,A115))&gt;1,"Duplicate type",IF(OR(B115="",SUMPRODUCT(--EXACT($A$2:$A$201,B115))&gt;0),IF(OR(E115="",E115="yes"),"ok","Top: type yes or leave blank"),"The type it extends is not in this list")))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10" t="str">
        <f aca="false">IF(A116="","",IF(SUMPRODUCT(--EXACT($A$2:$A$201,A116))&gt;1,"Duplicate type",IF(OR(B116="",SUMPRODUCT(--EXACT($A$2:$A$201,B116))&gt;0),IF(OR(E116="",E116="yes"),"ok","Top: type yes or leave blank"),"The type it extends is not in this list")))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10" t="str">
        <f aca="false">IF(A117="","",IF(SUMPRODUCT(--EXACT($A$2:$A$201,A117))&gt;1,"Duplicate type",IF(OR(B117="",SUMPRODUCT(--EXACT($A$2:$A$201,B117))&gt;0),IF(OR(E117="",E117="yes"),"ok","Top: type yes or leave blank"),"The type it extends is not in this list")))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10" t="str">
        <f aca="false">IF(A118="","",IF(SUMPRODUCT(--EXACT($A$2:$A$201,A118))&gt;1,"Duplicate type",IF(OR(B118="",SUMPRODUCT(--EXACT($A$2:$A$201,B118))&gt;0),IF(OR(E118="",E118="yes"),"ok","Top: type yes or leave blank"),"The type it extends is not in this list")))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10" t="str">
        <f aca="false">IF(A119="","",IF(SUMPRODUCT(--EXACT($A$2:$A$201,A119))&gt;1,"Duplicate type",IF(OR(B119="",SUMPRODUCT(--EXACT($A$2:$A$201,B119))&gt;0),IF(OR(E119="",E119="yes"),"ok","Top: type yes or leave blank"),"The type it extends is not in this list")))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10" t="str">
        <f aca="false">IF(A120="","",IF(SUMPRODUCT(--EXACT($A$2:$A$201,A120))&gt;1,"Duplicate type",IF(OR(B120="",SUMPRODUCT(--EXACT($A$2:$A$201,B120))&gt;0),IF(OR(E120="",E120="yes"),"ok","Top: type yes or leave blank"),"The type it extends is not in this list")))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10" t="str">
        <f aca="false">IF(A121="","",IF(SUMPRODUCT(--EXACT($A$2:$A$201,A121))&gt;1,"Duplicate type",IF(OR(B121="",SUMPRODUCT(--EXACT($A$2:$A$201,B121))&gt;0),IF(OR(E121="",E121="yes"),"ok","Top: type yes or leave blank"),"The type it extends is not in this list")))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10" t="str">
        <f aca="false">IF(A122="","",IF(SUMPRODUCT(--EXACT($A$2:$A$201,A122))&gt;1,"Duplicate type",IF(OR(B122="",SUMPRODUCT(--EXACT($A$2:$A$201,B122))&gt;0),IF(OR(E122="",E122="yes"),"ok","Top: type yes or leave blank"),"The type it extends is not in this list")))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10" t="str">
        <f aca="false">IF(A123="","",IF(SUMPRODUCT(--EXACT($A$2:$A$201,A123))&gt;1,"Duplicate type",IF(OR(B123="",SUMPRODUCT(--EXACT($A$2:$A$201,B123))&gt;0),IF(OR(E123="",E123="yes"),"ok","Top: type yes or leave blank"),"The type it extends is not in this list")))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10" t="str">
        <f aca="false">IF(A124="","",IF(SUMPRODUCT(--EXACT($A$2:$A$201,A124))&gt;1,"Duplicate type",IF(OR(B124="",SUMPRODUCT(--EXACT($A$2:$A$201,B124))&gt;0),IF(OR(E124="",E124="yes"),"ok","Top: type yes or leave blank"),"The type it extends is not in this list")))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10" t="str">
        <f aca="false">IF(A125="","",IF(SUMPRODUCT(--EXACT($A$2:$A$201,A125))&gt;1,"Duplicate type",IF(OR(B125="",SUMPRODUCT(--EXACT($A$2:$A$201,B125))&gt;0),IF(OR(E125="",E125="yes"),"ok","Top: type yes or leave blank"),"The type it extends is not in this list")))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10" t="str">
        <f aca="false">IF(A126="","",IF(SUMPRODUCT(--EXACT($A$2:$A$201,A126))&gt;1,"Duplicate type",IF(OR(B126="",SUMPRODUCT(--EXACT($A$2:$A$201,B126))&gt;0),IF(OR(E126="",E126="yes"),"ok","Top: type yes or leave blank"),"The type it extends is not in this list")))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10" t="str">
        <f aca="false">IF(A127="","",IF(SUMPRODUCT(--EXACT($A$2:$A$201,A127))&gt;1,"Duplicate type",IF(OR(B127="",SUMPRODUCT(--EXACT($A$2:$A$201,B127))&gt;0),IF(OR(E127="",E127="yes"),"ok","Top: type yes or leave blank"),"The type it extends is not in this list")))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10" t="str">
        <f aca="false">IF(A128="","",IF(SUMPRODUCT(--EXACT($A$2:$A$201,A128))&gt;1,"Duplicate type",IF(OR(B128="",SUMPRODUCT(--EXACT($A$2:$A$201,B128))&gt;0),IF(OR(E128="",E128="yes"),"ok","Top: type yes or leave blank"),"The type it extends is not in this list")))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10" t="str">
        <f aca="false">IF(A129="","",IF(SUMPRODUCT(--EXACT($A$2:$A$201,A129))&gt;1,"Duplicate type",IF(OR(B129="",SUMPRODUCT(--EXACT($A$2:$A$201,B129))&gt;0),IF(OR(E129="",E129="yes"),"ok","Top: type yes or leave blank"),"The type it extends is not in this list")))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10" t="str">
        <f aca="false">IF(A130="","",IF(SUMPRODUCT(--EXACT($A$2:$A$201,A130))&gt;1,"Duplicate type",IF(OR(B130="",SUMPRODUCT(--EXACT($A$2:$A$201,B130))&gt;0),IF(OR(E130="",E130="yes"),"ok","Top: type yes or leave blank"),"The type it extends is not in this list")))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10" t="str">
        <f aca="false">IF(A131="","",IF(SUMPRODUCT(--EXACT($A$2:$A$201,A131))&gt;1,"Duplicate type",IF(OR(B131="",SUMPRODUCT(--EXACT($A$2:$A$201,B131))&gt;0),IF(OR(E131="",E131="yes"),"ok","Top: type yes or leave blank"),"The type it extends is not in this list")))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10" t="str">
        <f aca="false">IF(A132="","",IF(SUMPRODUCT(--EXACT($A$2:$A$201,A132))&gt;1,"Duplicate type",IF(OR(B132="",SUMPRODUCT(--EXACT($A$2:$A$201,B132))&gt;0),IF(OR(E132="",E132="yes"),"ok","Top: type yes or leave blank"),"The type it extends is not in this list")))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10" t="str">
        <f aca="false">IF(A133="","",IF(SUMPRODUCT(--EXACT($A$2:$A$201,A133))&gt;1,"Duplicate type",IF(OR(B133="",SUMPRODUCT(--EXACT($A$2:$A$201,B133))&gt;0),IF(OR(E133="",E133="yes"),"ok","Top: type yes or leave blank"),"The type it extends is not in this list")))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10" t="str">
        <f aca="false">IF(A134="","",IF(SUMPRODUCT(--EXACT($A$2:$A$201,A134))&gt;1,"Duplicate type",IF(OR(B134="",SUMPRODUCT(--EXACT($A$2:$A$201,B134))&gt;0),IF(OR(E134="",E134="yes"),"ok","Top: type yes or leave blank"),"The type it extends is not in this list")))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10" t="str">
        <f aca="false">IF(A135="","",IF(SUMPRODUCT(--EXACT($A$2:$A$201,A135))&gt;1,"Duplicate type",IF(OR(B135="",SUMPRODUCT(--EXACT($A$2:$A$201,B135))&gt;0),IF(OR(E135="",E135="yes"),"ok","Top: type yes or leave blank"),"The type it extends is not in this list")))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10" t="str">
        <f aca="false">IF(A136="","",IF(SUMPRODUCT(--EXACT($A$2:$A$201,A136))&gt;1,"Duplicate type",IF(OR(B136="",SUMPRODUCT(--EXACT($A$2:$A$201,B136))&gt;0),IF(OR(E136="",E136="yes"),"ok","Top: type yes or leave blank"),"The type it extends is not in this list")))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10" t="str">
        <f aca="false">IF(A137="","",IF(SUMPRODUCT(--EXACT($A$2:$A$201,A137))&gt;1,"Duplicate type",IF(OR(B137="",SUMPRODUCT(--EXACT($A$2:$A$201,B137))&gt;0),IF(OR(E137="",E137="yes"),"ok","Top: type yes or leave blank"),"The type it extends is not in this list")))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10" t="str">
        <f aca="false">IF(A138="","",IF(SUMPRODUCT(--EXACT($A$2:$A$201,A138))&gt;1,"Duplicate type",IF(OR(B138="",SUMPRODUCT(--EXACT($A$2:$A$201,B138))&gt;0),IF(OR(E138="",E138="yes"),"ok","Top: type yes or leave blank"),"The type it extends is not in this list")))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10" t="str">
        <f aca="false">IF(A139="","",IF(SUMPRODUCT(--EXACT($A$2:$A$201,A139))&gt;1,"Duplicate type",IF(OR(B139="",SUMPRODUCT(--EXACT($A$2:$A$201,B139))&gt;0),IF(OR(E139="",E139="yes"),"ok","Top: type yes or leave blank"),"The type it extends is not in this list")))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10" t="str">
        <f aca="false">IF(A140="","",IF(SUMPRODUCT(--EXACT($A$2:$A$201,A140))&gt;1,"Duplicate type",IF(OR(B140="",SUMPRODUCT(--EXACT($A$2:$A$201,B140))&gt;0),IF(OR(E140="",E140="yes"),"ok","Top: type yes or leave blank"),"The type it extends is not in this list")))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10" t="str">
        <f aca="false">IF(A141="","",IF(SUMPRODUCT(--EXACT($A$2:$A$201,A141))&gt;1,"Duplicate type",IF(OR(B141="",SUMPRODUCT(--EXACT($A$2:$A$201,B141))&gt;0),IF(OR(E141="",E141="yes"),"ok","Top: type yes or leave blank"),"The type it extends is not in this list")))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10" t="str">
        <f aca="false">IF(A142="","",IF(SUMPRODUCT(--EXACT($A$2:$A$201,A142))&gt;1,"Duplicate type",IF(OR(B142="",SUMPRODUCT(--EXACT($A$2:$A$201,B142))&gt;0),IF(OR(E142="",E142="yes"),"ok","Top: type yes or leave blank"),"The type it extends is not in this list")))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10" t="str">
        <f aca="false">IF(A143="","",IF(SUMPRODUCT(--EXACT($A$2:$A$201,A143))&gt;1,"Duplicate type",IF(OR(B143="",SUMPRODUCT(--EXACT($A$2:$A$201,B143))&gt;0),IF(OR(E143="",E143="yes"),"ok","Top: type yes or leave blank"),"The type it extends is not in this list")))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10" t="str">
        <f aca="false">IF(A144="","",IF(SUMPRODUCT(--EXACT($A$2:$A$201,A144))&gt;1,"Duplicate type",IF(OR(B144="",SUMPRODUCT(--EXACT($A$2:$A$201,B144))&gt;0),IF(OR(E144="",E144="yes"),"ok","Top: type yes or leave blank"),"The type it extends is not in this list")))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10" t="str">
        <f aca="false">IF(A145="","",IF(SUMPRODUCT(--EXACT($A$2:$A$201,A145))&gt;1,"Duplicate type",IF(OR(B145="",SUMPRODUCT(--EXACT($A$2:$A$201,B145))&gt;0),IF(OR(E145="",E145="yes"),"ok","Top: type yes or leave blank"),"The type it extends is not in this list")))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10" t="str">
        <f aca="false">IF(A146="","",IF(SUMPRODUCT(--EXACT($A$2:$A$201,A146))&gt;1,"Duplicate type",IF(OR(B146="",SUMPRODUCT(--EXACT($A$2:$A$201,B146))&gt;0),IF(OR(E146="",E146="yes"),"ok","Top: type yes or leave blank"),"The type it extends is not in this list")))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10" t="str">
        <f aca="false">IF(A147="","",IF(SUMPRODUCT(--EXACT($A$2:$A$201,A147))&gt;1,"Duplicate type",IF(OR(B147="",SUMPRODUCT(--EXACT($A$2:$A$201,B147))&gt;0),IF(OR(E147="",E147="yes"),"ok","Top: type yes or leave blank"),"The type it extends is not in this list")))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10" t="str">
        <f aca="false">IF(A148="","",IF(SUMPRODUCT(--EXACT($A$2:$A$201,A148))&gt;1,"Duplicate type",IF(OR(B148="",SUMPRODUCT(--EXACT($A$2:$A$201,B148))&gt;0),IF(OR(E148="",E148="yes"),"ok","Top: type yes or leave blank"),"The type it extends is not in this list")))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10" t="str">
        <f aca="false">IF(A149="","",IF(SUMPRODUCT(--EXACT($A$2:$A$201,A149))&gt;1,"Duplicate type",IF(OR(B149="",SUMPRODUCT(--EXACT($A$2:$A$201,B149))&gt;0),IF(OR(E149="",E149="yes"),"ok","Top: type yes or leave blank"),"The type it extends is not in this list")))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10" t="str">
        <f aca="false">IF(A150="","",IF(SUMPRODUCT(--EXACT($A$2:$A$201,A150))&gt;1,"Duplicate type",IF(OR(B150="",SUMPRODUCT(--EXACT($A$2:$A$201,B150))&gt;0),IF(OR(E150="",E150="yes"),"ok","Top: type yes or leave blank"),"The type it extends is not in this list")))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10" t="str">
        <f aca="false">IF(A151="","",IF(SUMPRODUCT(--EXACT($A$2:$A$201,A151))&gt;1,"Duplicate type",IF(OR(B151="",SUMPRODUCT(--EXACT($A$2:$A$201,B151))&gt;0),IF(OR(E151="",E151="yes"),"ok","Top: type yes or leave blank"),"The type it extends is not in this list")))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10" t="str">
        <f aca="false">IF(A152="","",IF(SUMPRODUCT(--EXACT($A$2:$A$201,A152))&gt;1,"Duplicate type",IF(OR(B152="",SUMPRODUCT(--EXACT($A$2:$A$201,B152))&gt;0),IF(OR(E152="",E152="yes"),"ok","Top: type yes or leave blank"),"The type it extends is not in this list")))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10" t="str">
        <f aca="false">IF(A153="","",IF(SUMPRODUCT(--EXACT($A$2:$A$201,A153))&gt;1,"Duplicate type",IF(OR(B153="",SUMPRODUCT(--EXACT($A$2:$A$201,B153))&gt;0),IF(OR(E153="",E153="yes"),"ok","Top: type yes or leave blank"),"The type it extends is not in this list")))</f>
        <v/>
      </c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10" t="str">
        <f aca="false">IF(A154="","",IF(SUMPRODUCT(--EXACT($A$2:$A$201,A154))&gt;1,"Duplicate type",IF(OR(B154="",SUMPRODUCT(--EXACT($A$2:$A$201,B154))&gt;0),IF(OR(E154="",E154="yes"),"ok","Top: type yes or leave blank"),"The type it extends is not in this list")))</f>
        <v/>
      </c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10" t="str">
        <f aca="false">IF(A155="","",IF(SUMPRODUCT(--EXACT($A$2:$A$201,A155))&gt;1,"Duplicate type",IF(OR(B155="",SUMPRODUCT(--EXACT($A$2:$A$201,B155))&gt;0),IF(OR(E155="",E155="yes"),"ok","Top: type yes or leave blank"),"The type it extends is not in this list")))</f>
        <v/>
      </c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10" t="str">
        <f aca="false">IF(A156="","",IF(SUMPRODUCT(--EXACT($A$2:$A$201,A156))&gt;1,"Duplicate type",IF(OR(B156="",SUMPRODUCT(--EXACT($A$2:$A$201,B156))&gt;0),IF(OR(E156="",E156="yes"),"ok","Top: type yes or leave blank"),"The type it extends is not in this list")))</f>
        <v/>
      </c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10" t="str">
        <f aca="false">IF(A157="","",IF(SUMPRODUCT(--EXACT($A$2:$A$201,A157))&gt;1,"Duplicate type",IF(OR(B157="",SUMPRODUCT(--EXACT($A$2:$A$201,B157))&gt;0),IF(OR(E157="",E157="yes"),"ok","Top: type yes or leave blank"),"The type it extends is not in this list")))</f>
        <v/>
      </c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10" t="str">
        <f aca="false">IF(A158="","",IF(SUMPRODUCT(--EXACT($A$2:$A$201,A158))&gt;1,"Duplicate type",IF(OR(B158="",SUMPRODUCT(--EXACT($A$2:$A$201,B158))&gt;0),IF(OR(E158="",E158="yes"),"ok","Top: type yes or leave blank"),"The type it extends is not in this list")))</f>
        <v/>
      </c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10" t="str">
        <f aca="false">IF(A159="","",IF(SUMPRODUCT(--EXACT($A$2:$A$201,A159))&gt;1,"Duplicate type",IF(OR(B159="",SUMPRODUCT(--EXACT($A$2:$A$201,B159))&gt;0),IF(OR(E159="",E159="yes"),"ok","Top: type yes or leave blank"),"The type it extends is not in this list")))</f>
        <v/>
      </c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10" t="str">
        <f aca="false">IF(A160="","",IF(SUMPRODUCT(--EXACT($A$2:$A$201,A160))&gt;1,"Duplicate type",IF(OR(B160="",SUMPRODUCT(--EXACT($A$2:$A$201,B160))&gt;0),IF(OR(E160="",E160="yes"),"ok","Top: type yes or leave blank"),"The type it extends is not in this list")))</f>
        <v/>
      </c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10" t="str">
        <f aca="false">IF(A161="","",IF(SUMPRODUCT(--EXACT($A$2:$A$201,A161))&gt;1,"Duplicate type",IF(OR(B161="",SUMPRODUCT(--EXACT($A$2:$A$201,B161))&gt;0),IF(OR(E161="",E161="yes"),"ok","Top: type yes or leave blank"),"The type it extends is not in this list")))</f>
        <v/>
      </c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10" t="str">
        <f aca="false">IF(A162="","",IF(SUMPRODUCT(--EXACT($A$2:$A$201,A162))&gt;1,"Duplicate type",IF(OR(B162="",SUMPRODUCT(--EXACT($A$2:$A$201,B162))&gt;0),IF(OR(E162="",E162="yes"),"ok","Top: type yes or leave blank"),"The type it extends is not in this list")))</f>
        <v/>
      </c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10" t="str">
        <f aca="false">IF(A163="","",IF(SUMPRODUCT(--EXACT($A$2:$A$201,A163))&gt;1,"Duplicate type",IF(OR(B163="",SUMPRODUCT(--EXACT($A$2:$A$201,B163))&gt;0),IF(OR(E163="",E163="yes"),"ok","Top: type yes or leave blank"),"The type it extends is not in this list")))</f>
        <v/>
      </c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10" t="str">
        <f aca="false">IF(A164="","",IF(SUMPRODUCT(--EXACT($A$2:$A$201,A164))&gt;1,"Duplicate type",IF(OR(B164="",SUMPRODUCT(--EXACT($A$2:$A$201,B164))&gt;0),IF(OR(E164="",E164="yes"),"ok","Top: type yes or leave blank"),"The type it extends is not in this list")))</f>
        <v/>
      </c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10" t="str">
        <f aca="false">IF(A165="","",IF(SUMPRODUCT(--EXACT($A$2:$A$201,A165))&gt;1,"Duplicate type",IF(OR(B165="",SUMPRODUCT(--EXACT($A$2:$A$201,B165))&gt;0),IF(OR(E165="",E165="yes"),"ok","Top: type yes or leave blank"),"The type it extends is not in this list")))</f>
        <v/>
      </c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10" t="str">
        <f aca="false">IF(A166="","",IF(SUMPRODUCT(--EXACT($A$2:$A$201,A166))&gt;1,"Duplicate type",IF(OR(B166="",SUMPRODUCT(--EXACT($A$2:$A$201,B166))&gt;0),IF(OR(E166="",E166="yes"),"ok","Top: type yes or leave blank"),"The type it extends is not in this list")))</f>
        <v/>
      </c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10" t="str">
        <f aca="false">IF(A167="","",IF(SUMPRODUCT(--EXACT($A$2:$A$201,A167))&gt;1,"Duplicate type",IF(OR(B167="",SUMPRODUCT(--EXACT($A$2:$A$201,B167))&gt;0),IF(OR(E167="",E167="yes"),"ok","Top: type yes or leave blank"),"The type it extends is not in this list")))</f>
        <v/>
      </c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10" t="str">
        <f aca="false">IF(A168="","",IF(SUMPRODUCT(--EXACT($A$2:$A$201,A168))&gt;1,"Duplicate type",IF(OR(B168="",SUMPRODUCT(--EXACT($A$2:$A$201,B168))&gt;0),IF(OR(E168="",E168="yes"),"ok","Top: type yes or leave blank"),"The type it extends is not in this list")))</f>
        <v/>
      </c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10" t="str">
        <f aca="false">IF(A169="","",IF(SUMPRODUCT(--EXACT($A$2:$A$201,A169))&gt;1,"Duplicate type",IF(OR(B169="",SUMPRODUCT(--EXACT($A$2:$A$201,B169))&gt;0),IF(OR(E169="",E169="yes"),"ok","Top: type yes or leave blank"),"The type it extends is not in this list")))</f>
        <v/>
      </c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10" t="str">
        <f aca="false">IF(A170="","",IF(SUMPRODUCT(--EXACT($A$2:$A$201,A170))&gt;1,"Duplicate type",IF(OR(B170="",SUMPRODUCT(--EXACT($A$2:$A$201,B170))&gt;0),IF(OR(E170="",E170="yes"),"ok","Top: type yes or leave blank"),"The type it extends is not in this list")))</f>
        <v/>
      </c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10" t="str">
        <f aca="false">IF(A171="","",IF(SUMPRODUCT(--EXACT($A$2:$A$201,A171))&gt;1,"Duplicate type",IF(OR(B171="",SUMPRODUCT(--EXACT($A$2:$A$201,B171))&gt;0),IF(OR(E171="",E171="yes"),"ok","Top: type yes or leave blank"),"The type it extends is not in this list")))</f>
        <v/>
      </c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10" t="str">
        <f aca="false">IF(A172="","",IF(SUMPRODUCT(--EXACT($A$2:$A$201,A172))&gt;1,"Duplicate type",IF(OR(B172="",SUMPRODUCT(--EXACT($A$2:$A$201,B172))&gt;0),IF(OR(E172="",E172="yes"),"ok","Top: type yes or leave blank"),"The type it extends is not in this list")))</f>
        <v/>
      </c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10" t="str">
        <f aca="false">IF(A173="","",IF(SUMPRODUCT(--EXACT($A$2:$A$201,A173))&gt;1,"Duplicate type",IF(OR(B173="",SUMPRODUCT(--EXACT($A$2:$A$201,B173))&gt;0),IF(OR(E173="",E173="yes"),"ok","Top: type yes or leave blank"),"The type it extends is not in this list")))</f>
        <v/>
      </c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10" t="str">
        <f aca="false">IF(A174="","",IF(SUMPRODUCT(--EXACT($A$2:$A$201,A174))&gt;1,"Duplicate type",IF(OR(B174="",SUMPRODUCT(--EXACT($A$2:$A$201,B174))&gt;0),IF(OR(E174="",E174="yes"),"ok","Top: type yes or leave blank"),"The type it extends is not in this list")))</f>
        <v/>
      </c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10" t="str">
        <f aca="false">IF(A175="","",IF(SUMPRODUCT(--EXACT($A$2:$A$201,A175))&gt;1,"Duplicate type",IF(OR(B175="",SUMPRODUCT(--EXACT($A$2:$A$201,B175))&gt;0),IF(OR(E175="",E175="yes"),"ok","Top: type yes or leave blank"),"The type it extends is not in this list")))</f>
        <v/>
      </c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10" t="str">
        <f aca="false">IF(A176="","",IF(SUMPRODUCT(--EXACT($A$2:$A$201,A176))&gt;1,"Duplicate type",IF(OR(B176="",SUMPRODUCT(--EXACT($A$2:$A$201,B176))&gt;0),IF(OR(E176="",E176="yes"),"ok","Top: type yes or leave blank"),"The type it extends is not in this list")))</f>
        <v/>
      </c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10" t="str">
        <f aca="false">IF(A177="","",IF(SUMPRODUCT(--EXACT($A$2:$A$201,A177))&gt;1,"Duplicate type",IF(OR(B177="",SUMPRODUCT(--EXACT($A$2:$A$201,B177))&gt;0),IF(OR(E177="",E177="yes"),"ok","Top: type yes or leave blank"),"The type it extends is not in this list")))</f>
        <v/>
      </c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10" t="str">
        <f aca="false">IF(A178="","",IF(SUMPRODUCT(--EXACT($A$2:$A$201,A178))&gt;1,"Duplicate type",IF(OR(B178="",SUMPRODUCT(--EXACT($A$2:$A$201,B178))&gt;0),IF(OR(E178="",E178="yes"),"ok","Top: type yes or leave blank"),"The type it extends is not in this list")))</f>
        <v/>
      </c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10" t="str">
        <f aca="false">IF(A179="","",IF(SUMPRODUCT(--EXACT($A$2:$A$201,A179))&gt;1,"Duplicate type",IF(OR(B179="",SUMPRODUCT(--EXACT($A$2:$A$201,B179))&gt;0),IF(OR(E179="",E179="yes"),"ok","Top: type yes or leave blank"),"The type it extends is not in this list")))</f>
        <v/>
      </c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10" t="str">
        <f aca="false">IF(A180="","",IF(SUMPRODUCT(--EXACT($A$2:$A$201,A180))&gt;1,"Duplicate type",IF(OR(B180="",SUMPRODUCT(--EXACT($A$2:$A$201,B180))&gt;0),IF(OR(E180="",E180="yes"),"ok","Top: type yes or leave blank"),"The type it extends is not in this list")))</f>
        <v/>
      </c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10" t="str">
        <f aca="false">IF(A181="","",IF(SUMPRODUCT(--EXACT($A$2:$A$201,A181))&gt;1,"Duplicate type",IF(OR(B181="",SUMPRODUCT(--EXACT($A$2:$A$201,B181))&gt;0),IF(OR(E181="",E181="yes"),"ok","Top: type yes or leave blank"),"The type it extends is not in this list")))</f>
        <v/>
      </c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10" t="str">
        <f aca="false">IF(A182="","",IF(SUMPRODUCT(--EXACT($A$2:$A$201,A182))&gt;1,"Duplicate type",IF(OR(B182="",SUMPRODUCT(--EXACT($A$2:$A$201,B182))&gt;0),IF(OR(E182="",E182="yes"),"ok","Top: type yes or leave blank"),"The type it extends is not in this list")))</f>
        <v/>
      </c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10" t="str">
        <f aca="false">IF(A183="","",IF(SUMPRODUCT(--EXACT($A$2:$A$201,A183))&gt;1,"Duplicate type",IF(OR(B183="",SUMPRODUCT(--EXACT($A$2:$A$201,B183))&gt;0),IF(OR(E183="",E183="yes"),"ok","Top: type yes or leave blank"),"The type it extends is not in this list")))</f>
        <v/>
      </c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10" t="str">
        <f aca="false">IF(A184="","",IF(SUMPRODUCT(--EXACT($A$2:$A$201,A184))&gt;1,"Duplicate type",IF(OR(B184="",SUMPRODUCT(--EXACT($A$2:$A$201,B184))&gt;0),IF(OR(E184="",E184="yes"),"ok","Top: type yes or leave blank"),"The type it extends is not in this list")))</f>
        <v/>
      </c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10" t="str">
        <f aca="false">IF(A185="","",IF(SUMPRODUCT(--EXACT($A$2:$A$201,A185))&gt;1,"Duplicate type",IF(OR(B185="",SUMPRODUCT(--EXACT($A$2:$A$201,B185))&gt;0),IF(OR(E185="",E185="yes"),"ok","Top: type yes or leave blank"),"The type it extends is not in this list")))</f>
        <v/>
      </c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10" t="str">
        <f aca="false">IF(A186="","",IF(SUMPRODUCT(--EXACT($A$2:$A$201,A186))&gt;1,"Duplicate type",IF(OR(B186="",SUMPRODUCT(--EXACT($A$2:$A$201,B186))&gt;0),IF(OR(E186="",E186="yes"),"ok","Top: type yes or leave blank"),"The type it extends is not in this list")))</f>
        <v/>
      </c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10" t="str">
        <f aca="false">IF(A187="","",IF(SUMPRODUCT(--EXACT($A$2:$A$201,A187))&gt;1,"Duplicate type",IF(OR(B187="",SUMPRODUCT(--EXACT($A$2:$A$201,B187))&gt;0),IF(OR(E187="",E187="yes"),"ok","Top: type yes or leave blank"),"The type it extends is not in this list")))</f>
        <v/>
      </c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10" t="str">
        <f aca="false">IF(A188="","",IF(SUMPRODUCT(--EXACT($A$2:$A$201,A188))&gt;1,"Duplicate type",IF(OR(B188="",SUMPRODUCT(--EXACT($A$2:$A$201,B188))&gt;0),IF(OR(E188="",E188="yes"),"ok","Top: type yes or leave blank"),"The type it extends is not in this list")))</f>
        <v/>
      </c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10" t="str">
        <f aca="false">IF(A189="","",IF(SUMPRODUCT(--EXACT($A$2:$A$201,A189))&gt;1,"Duplicate type",IF(OR(B189="",SUMPRODUCT(--EXACT($A$2:$A$201,B189))&gt;0),IF(OR(E189="",E189="yes"),"ok","Top: type yes or leave blank"),"The type it extends is not in this list")))</f>
        <v/>
      </c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10" t="str">
        <f aca="false">IF(A190="","",IF(SUMPRODUCT(--EXACT($A$2:$A$201,A190))&gt;1,"Duplicate type",IF(OR(B190="",SUMPRODUCT(--EXACT($A$2:$A$201,B190))&gt;0),IF(OR(E190="",E190="yes"),"ok","Top: type yes or leave blank"),"The type it extends is not in this list")))</f>
        <v/>
      </c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10" t="str">
        <f aca="false">IF(A191="","",IF(SUMPRODUCT(--EXACT($A$2:$A$201,A191))&gt;1,"Duplicate type",IF(OR(B191="",SUMPRODUCT(--EXACT($A$2:$A$201,B191))&gt;0),IF(OR(E191="",E191="yes"),"ok","Top: type yes or leave blank"),"The type it extends is not in this list")))</f>
        <v/>
      </c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10" t="str">
        <f aca="false">IF(A192="","",IF(SUMPRODUCT(--EXACT($A$2:$A$201,A192))&gt;1,"Duplicate type",IF(OR(B192="",SUMPRODUCT(--EXACT($A$2:$A$201,B192))&gt;0),IF(OR(E192="",E192="yes"),"ok","Top: type yes or leave blank"),"The type it extends is not in this list")))</f>
        <v/>
      </c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10" t="str">
        <f aca="false">IF(A193="","",IF(SUMPRODUCT(--EXACT($A$2:$A$201,A193))&gt;1,"Duplicate type",IF(OR(B193="",SUMPRODUCT(--EXACT($A$2:$A$201,B193))&gt;0),IF(OR(E193="",E193="yes"),"ok","Top: type yes or leave blank"),"The type it extends is not in this list")))</f>
        <v/>
      </c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10" t="str">
        <f aca="false">IF(A194="","",IF(SUMPRODUCT(--EXACT($A$2:$A$201,A194))&gt;1,"Duplicate type",IF(OR(B194="",SUMPRODUCT(--EXACT($A$2:$A$201,B194))&gt;0),IF(OR(E194="",E194="yes"),"ok","Top: type yes or leave blank"),"The type it extends is not in this list")))</f>
        <v/>
      </c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10" t="str">
        <f aca="false">IF(A195="","",IF(SUMPRODUCT(--EXACT($A$2:$A$201,A195))&gt;1,"Duplicate type",IF(OR(B195="",SUMPRODUCT(--EXACT($A$2:$A$201,B195))&gt;0),IF(OR(E195="",E195="yes"),"ok","Top: type yes or leave blank"),"The type it extends is not in this list")))</f>
        <v/>
      </c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10" t="str">
        <f aca="false">IF(A196="","",IF(SUMPRODUCT(--EXACT($A$2:$A$201,A196))&gt;1,"Duplicate type",IF(OR(B196="",SUMPRODUCT(--EXACT($A$2:$A$201,B196))&gt;0),IF(OR(E196="",E196="yes"),"ok","Top: type yes or leave blank"),"The type it extends is not in this list")))</f>
        <v/>
      </c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10" t="str">
        <f aca="false">IF(A197="","",IF(SUMPRODUCT(--EXACT($A$2:$A$201,A197))&gt;1,"Duplicate type",IF(OR(B197="",SUMPRODUCT(--EXACT($A$2:$A$201,B197))&gt;0),IF(OR(E197="",E197="yes"),"ok","Top: type yes or leave blank"),"The type it extends is not in this list")))</f>
        <v/>
      </c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10" t="str">
        <f aca="false">IF(A198="","",IF(SUMPRODUCT(--EXACT($A$2:$A$201,A198))&gt;1,"Duplicate type",IF(OR(B198="",SUMPRODUCT(--EXACT($A$2:$A$201,B198))&gt;0),IF(OR(E198="",E198="yes"),"ok","Top: type yes or leave blank"),"The type it extends is not in this list")))</f>
        <v/>
      </c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10" t="str">
        <f aca="false">IF(A199="","",IF(SUMPRODUCT(--EXACT($A$2:$A$201,A199))&gt;1,"Duplicate type",IF(OR(B199="",SUMPRODUCT(--EXACT($A$2:$A$201,B199))&gt;0),IF(OR(E199="",E199="yes"),"ok","Top: type yes or leave blank"),"The type it extends is not in this list")))</f>
        <v/>
      </c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10" t="str">
        <f aca="false">IF(A200="","",IF(SUMPRODUCT(--EXACT($A$2:$A$201,A200))&gt;1,"Duplicate type",IF(OR(B200="",SUMPRODUCT(--EXACT($A$2:$A$201,B200))&gt;0),IF(OR(E200="",E200="yes"),"ok","Top: type yes or leave blank"),"The type it extends is not in this list")))</f>
        <v/>
      </c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10" t="str">
        <f aca="false">IF(A201="","",IF(SUMPRODUCT(--EXACT($A$2:$A$201,A201))&gt;1,"Duplicate type",IF(OR(B201="",SUMPRODUCT(--EXACT($A$2:$A$201,B201))&gt;0),IF(OR(E201="",E201="yes"),"ok","Top: type yes or leave blank"),"The type it extends is not in this list")))</f>
        <v/>
      </c>
    </row>
  </sheetData>
  <dataValidations count="3">
    <dataValidation allowBlank="true" error="This value is not on the list. The check column will flag it." errorStyle="warning" errorTitle="Not on the list" operator="between" prompt="Pick the type this one is a kind of, or leave blank." showDropDown="false" showErrorMessage="true" showInputMessage="true" sqref="B2:B201" type="list">
      <formula1>$A$2:$A$201</formula1>
      <formula2>0</formula2>
    </dataValidation>
    <dataValidation allowBlank="true" error="This value is not on the list. The check column will flag it." errorStyle="warning" errorTitle="Not on the list" operator="between" prompt="Shared across the organisation, or local to this area." showDropDown="false" showErrorMessage="true" showInputMessage="true" sqref="D2:D201" type="list">
      <formula1>"Shared,Local"</formula1>
      <formula2>0</formula2>
    </dataValidation>
    <dataValidation allowBlank="true" error="This value is not on the list. The check column will flag it." errorStyle="warning" errorTitle="Not on the list" operator="between" prompt="yes for a site or network; blank for anything that needs a parent." showDropDown="false" showErrorMessage="true" showInputMessage="true" sqref="E2:E201" type="list">
      <formula1>"yes"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54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8" t="s">
        <v>94</v>
      </c>
      <c r="B1" s="8" t="s">
        <v>95</v>
      </c>
      <c r="C1" s="8" t="s">
        <v>96</v>
      </c>
      <c r="D1" s="8" t="s">
        <v>45</v>
      </c>
      <c r="E1" s="8" t="s">
        <v>49</v>
      </c>
    </row>
    <row r="2" customFormat="false" ht="15" hidden="false" customHeight="false" outlineLevel="0" collapsed="false">
      <c r="A2" s="9" t="s">
        <v>97</v>
      </c>
      <c r="B2" s="9" t="s">
        <v>98</v>
      </c>
      <c r="C2" s="9" t="s">
        <v>99</v>
      </c>
      <c r="D2" s="9" t="s">
        <v>100</v>
      </c>
      <c r="E2" s="10" t="str">
        <f aca="false">IF(A2="","",IF(SUMPRODUCT(--EXACT($A$2:$A$201,A2))&gt;1,"Duplicate type",IF(AND(B2&lt;&gt;"Measurement",B2&lt;&gt;"State or alarm"),"Kind must be Measurement or State or alarm",IF(AND(B2="Measurement",C2=""),"A measurement type needs a unit",IF(AND(B2="State or alarm",C2&lt;&gt;""),"A state or alarm has no unit","ok")))))</f>
        <v>ok</v>
      </c>
    </row>
    <row r="3" customFormat="false" ht="15" hidden="false" customHeight="false" outlineLevel="0" collapsed="false">
      <c r="A3" s="9" t="s">
        <v>101</v>
      </c>
      <c r="B3" s="9" t="s">
        <v>98</v>
      </c>
      <c r="C3" s="9" t="s">
        <v>102</v>
      </c>
      <c r="D3" s="9" t="s">
        <v>103</v>
      </c>
      <c r="E3" s="10" t="str">
        <f aca="false">IF(A3="","",IF(SUMPRODUCT(--EXACT($A$2:$A$201,A3))&gt;1,"Duplicate type",IF(AND(B3&lt;&gt;"Measurement",B3&lt;&gt;"State or alarm"),"Kind must be Measurement or State or alarm",IF(AND(B3="Measurement",C3=""),"A measurement type needs a unit",IF(AND(B3="State or alarm",C3&lt;&gt;""),"A state or alarm has no unit","ok")))))</f>
        <v>ok</v>
      </c>
    </row>
    <row r="4" customFormat="false" ht="15" hidden="false" customHeight="false" outlineLevel="0" collapsed="false">
      <c r="A4" s="9" t="s">
        <v>104</v>
      </c>
      <c r="B4" s="9" t="s">
        <v>98</v>
      </c>
      <c r="C4" s="9" t="s">
        <v>105</v>
      </c>
      <c r="D4" s="9" t="s">
        <v>106</v>
      </c>
      <c r="E4" s="10" t="str">
        <f aca="false">IF(A4="","",IF(SUMPRODUCT(--EXACT($A$2:$A$201,A4))&gt;1,"Duplicate type",IF(AND(B4&lt;&gt;"Measurement",B4&lt;&gt;"State or alarm"),"Kind must be Measurement or State or alarm",IF(AND(B4="Measurement",C4=""),"A measurement type needs a unit",IF(AND(B4="State or alarm",C4&lt;&gt;""),"A state or alarm has no unit","ok")))))</f>
        <v>ok</v>
      </c>
    </row>
    <row r="5" customFormat="false" ht="15" hidden="false" customHeight="false" outlineLevel="0" collapsed="false">
      <c r="A5" s="9" t="s">
        <v>107</v>
      </c>
      <c r="B5" s="9" t="s">
        <v>98</v>
      </c>
      <c r="C5" s="9" t="s">
        <v>108</v>
      </c>
      <c r="D5" s="9" t="s">
        <v>109</v>
      </c>
      <c r="E5" s="10" t="str">
        <f aca="false">IF(A5="","",IF(SUMPRODUCT(--EXACT($A$2:$A$201,A5))&gt;1,"Duplicate type",IF(AND(B5&lt;&gt;"Measurement",B5&lt;&gt;"State or alarm"),"Kind must be Measurement or State or alarm",IF(AND(B5="Measurement",C5=""),"A measurement type needs a unit",IF(AND(B5="State or alarm",C5&lt;&gt;""),"A state or alarm has no unit","ok")))))</f>
        <v>ok</v>
      </c>
    </row>
    <row r="6" customFormat="false" ht="15" hidden="false" customHeight="false" outlineLevel="0" collapsed="false">
      <c r="A6" s="9" t="s">
        <v>110</v>
      </c>
      <c r="B6" s="9" t="s">
        <v>98</v>
      </c>
      <c r="C6" s="9" t="s">
        <v>105</v>
      </c>
      <c r="D6" s="9" t="s">
        <v>111</v>
      </c>
      <c r="E6" s="10" t="str">
        <f aca="false">IF(A6="","",IF(SUMPRODUCT(--EXACT($A$2:$A$201,A6))&gt;1,"Duplicate type",IF(AND(B6&lt;&gt;"Measurement",B6&lt;&gt;"State or alarm"),"Kind must be Measurement or State or alarm",IF(AND(B6="Measurement",C6=""),"A measurement type needs a unit",IF(AND(B6="State or alarm",C6&lt;&gt;""),"A state or alarm has no unit","ok")))))</f>
        <v>ok</v>
      </c>
    </row>
    <row r="7" customFormat="false" ht="15" hidden="false" customHeight="false" outlineLevel="0" collapsed="false">
      <c r="A7" s="9" t="s">
        <v>112</v>
      </c>
      <c r="B7" s="9" t="s">
        <v>98</v>
      </c>
      <c r="C7" s="9" t="s">
        <v>113</v>
      </c>
      <c r="D7" s="9" t="s">
        <v>114</v>
      </c>
      <c r="E7" s="10" t="str">
        <f aca="false">IF(A7="","",IF(SUMPRODUCT(--EXACT($A$2:$A$201,A7))&gt;1,"Duplicate type",IF(AND(B7&lt;&gt;"Measurement",B7&lt;&gt;"State or alarm"),"Kind must be Measurement or State or alarm",IF(AND(B7="Measurement",C7=""),"A measurement type needs a unit",IF(AND(B7="State or alarm",C7&lt;&gt;""),"A state or alarm has no unit","ok")))))</f>
        <v>ok</v>
      </c>
    </row>
    <row r="8" customFormat="false" ht="15" hidden="false" customHeight="false" outlineLevel="0" collapsed="false">
      <c r="A8" s="9" t="s">
        <v>115</v>
      </c>
      <c r="B8" s="9" t="s">
        <v>116</v>
      </c>
      <c r="C8" s="9"/>
      <c r="D8" s="9" t="s">
        <v>117</v>
      </c>
      <c r="E8" s="10" t="str">
        <f aca="false">IF(A8="","",IF(SUMPRODUCT(--EXACT($A$2:$A$201,A8))&gt;1,"Duplicate type",IF(AND(B8&lt;&gt;"Measurement",B8&lt;&gt;"State or alarm"),"Kind must be Measurement or State or alarm",IF(AND(B8="Measurement",C8=""),"A measurement type needs a unit",IF(AND(B8="State or alarm",C8&lt;&gt;""),"A state or alarm has no unit","ok")))))</f>
        <v>ok</v>
      </c>
    </row>
    <row r="9" customFormat="false" ht="15" hidden="false" customHeight="false" outlineLevel="0" collapsed="false">
      <c r="A9" s="9" t="s">
        <v>118</v>
      </c>
      <c r="B9" s="9" t="s">
        <v>116</v>
      </c>
      <c r="C9" s="9"/>
      <c r="D9" s="9" t="s">
        <v>119</v>
      </c>
      <c r="E9" s="10" t="str">
        <f aca="false">IF(A9="","",IF(SUMPRODUCT(--EXACT($A$2:$A$201,A9))&gt;1,"Duplicate type",IF(AND(B9&lt;&gt;"Measurement",B9&lt;&gt;"State or alarm"),"Kind must be Measurement or State or alarm",IF(AND(B9="Measurement",C9=""),"A measurement type needs a unit",IF(AND(B9="State or alarm",C9&lt;&gt;""),"A state or alarm has no unit","ok")))))</f>
        <v>ok</v>
      </c>
    </row>
    <row r="10" customFormat="false" ht="15" hidden="false" customHeight="false" outlineLevel="0" collapsed="false">
      <c r="A10" s="9" t="s">
        <v>120</v>
      </c>
      <c r="B10" s="9" t="s">
        <v>116</v>
      </c>
      <c r="C10" s="9"/>
      <c r="D10" s="9" t="s">
        <v>121</v>
      </c>
      <c r="E10" s="10" t="str">
        <f aca="false">IF(A10="","",IF(SUMPRODUCT(--EXACT($A$2:$A$201,A10))&gt;1,"Duplicate type",IF(AND(B10&lt;&gt;"Measurement",B10&lt;&gt;"State or alarm"),"Kind must be Measurement or State or alarm",IF(AND(B10="Measurement",C10=""),"A measurement type needs a unit",IF(AND(B10="State or alarm",C10&lt;&gt;""),"A state or alarm has no unit","ok")))))</f>
        <v>ok</v>
      </c>
    </row>
    <row r="11" customFormat="false" ht="15" hidden="false" customHeight="false" outlineLevel="0" collapsed="false">
      <c r="A11" s="9" t="s">
        <v>122</v>
      </c>
      <c r="B11" s="9" t="s">
        <v>116</v>
      </c>
      <c r="C11" s="9"/>
      <c r="D11" s="9" t="s">
        <v>123</v>
      </c>
      <c r="E11" s="10" t="str">
        <f aca="false">IF(A11="","",IF(SUMPRODUCT(--EXACT($A$2:$A$201,A11))&gt;1,"Duplicate type",IF(AND(B11&lt;&gt;"Measurement",B11&lt;&gt;"State or alarm"),"Kind must be Measurement or State or alarm",IF(AND(B11="Measurement",C11=""),"A measurement type needs a unit",IF(AND(B11="State or alarm",C11&lt;&gt;""),"A state or alarm has no unit","ok")))))</f>
        <v>ok</v>
      </c>
    </row>
    <row r="12" customFormat="false" ht="15" hidden="false" customHeight="false" outlineLevel="0" collapsed="false">
      <c r="A12" s="9" t="s">
        <v>124</v>
      </c>
      <c r="B12" s="9" t="s">
        <v>116</v>
      </c>
      <c r="C12" s="9"/>
      <c r="D12" s="9" t="s">
        <v>125</v>
      </c>
      <c r="E12" s="10" t="str">
        <f aca="false">IF(A12="","",IF(SUMPRODUCT(--EXACT($A$2:$A$201,A12))&gt;1,"Duplicate type",IF(AND(B12&lt;&gt;"Measurement",B12&lt;&gt;"State or alarm"),"Kind must be Measurement or State or alarm",IF(AND(B12="Measurement",C12=""),"A measurement type needs a unit",IF(AND(B12="State or alarm",C12&lt;&gt;""),"A state or alarm has no unit","ok")))))</f>
        <v>ok</v>
      </c>
    </row>
    <row r="13" customFormat="false" ht="15" hidden="false" customHeight="false" outlineLevel="0" collapsed="false">
      <c r="A13" s="9" t="s">
        <v>126</v>
      </c>
      <c r="B13" s="9" t="s">
        <v>116</v>
      </c>
      <c r="C13" s="9"/>
      <c r="D13" s="9" t="s">
        <v>127</v>
      </c>
      <c r="E13" s="10" t="str">
        <f aca="false">IF(A13="","",IF(SUMPRODUCT(--EXACT($A$2:$A$201,A13))&gt;1,"Duplicate type",IF(AND(B13&lt;&gt;"Measurement",B13&lt;&gt;"State or alarm"),"Kind must be Measurement or State or alarm",IF(AND(B13="Measurement",C13=""),"A measurement type needs a unit",IF(AND(B13="State or alarm",C13&lt;&gt;""),"A state or alarm has no unit","ok")))))</f>
        <v>ok</v>
      </c>
    </row>
    <row r="14" customFormat="false" ht="15" hidden="false" customHeight="false" outlineLevel="0" collapsed="false">
      <c r="A14" s="9"/>
      <c r="B14" s="9"/>
      <c r="C14" s="9"/>
      <c r="D14" s="9"/>
      <c r="E14" s="10" t="str">
        <f aca="false">IF(A14="","",IF(SUMPRODUCT(--EXACT($A$2:$A$201,A14))&gt;1,"Duplicate type",IF(AND(B14&lt;&gt;"Measurement",B14&lt;&gt;"State or alarm"),"Kind must be Measurement or State or alarm",IF(AND(B14="Measurement",C14=""),"A measurement type needs a unit",IF(AND(B14="State or alarm",C14&lt;&gt;""),"A state or alarm has no unit","ok")))))</f>
        <v/>
      </c>
    </row>
    <row r="15" customFormat="false" ht="15" hidden="false" customHeight="false" outlineLevel="0" collapsed="false">
      <c r="A15" s="9"/>
      <c r="B15" s="9"/>
      <c r="C15" s="9"/>
      <c r="D15" s="9"/>
      <c r="E15" s="10" t="str">
        <f aca="false">IF(A15="","",IF(SUMPRODUCT(--EXACT($A$2:$A$201,A15))&gt;1,"Duplicate type",IF(AND(B15&lt;&gt;"Measurement",B15&lt;&gt;"State or alarm"),"Kind must be Measurement or State or alarm",IF(AND(B15="Measurement",C15=""),"A measurement type needs a unit",IF(AND(B15="State or alarm",C15&lt;&gt;""),"A state or alarm has no unit","ok")))))</f>
        <v/>
      </c>
    </row>
    <row r="16" customFormat="false" ht="15" hidden="false" customHeight="false" outlineLevel="0" collapsed="false">
      <c r="A16" s="9"/>
      <c r="B16" s="9"/>
      <c r="C16" s="9"/>
      <c r="D16" s="9"/>
      <c r="E16" s="10" t="str">
        <f aca="false">IF(A16="","",IF(SUMPRODUCT(--EXACT($A$2:$A$201,A16))&gt;1,"Duplicate type",IF(AND(B16&lt;&gt;"Measurement",B16&lt;&gt;"State or alarm"),"Kind must be Measurement or State or alarm",IF(AND(B16="Measurement",C16=""),"A measurement type needs a unit",IF(AND(B16="State or alarm",C16&lt;&gt;""),"A state or alarm has no unit","ok")))))</f>
        <v/>
      </c>
    </row>
    <row r="17" customFormat="false" ht="15" hidden="false" customHeight="false" outlineLevel="0" collapsed="false">
      <c r="A17" s="9"/>
      <c r="B17" s="9"/>
      <c r="C17" s="9"/>
      <c r="D17" s="9"/>
      <c r="E17" s="10" t="str">
        <f aca="false">IF(A17="","",IF(SUMPRODUCT(--EXACT($A$2:$A$201,A17))&gt;1,"Duplicate type",IF(AND(B17&lt;&gt;"Measurement",B17&lt;&gt;"State or alarm"),"Kind must be Measurement or State or alarm",IF(AND(B17="Measurement",C17=""),"A measurement type needs a unit",IF(AND(B17="State or alarm",C17&lt;&gt;""),"A state or alarm has no unit","ok")))))</f>
        <v/>
      </c>
    </row>
    <row r="18" customFormat="false" ht="15" hidden="false" customHeight="false" outlineLevel="0" collapsed="false">
      <c r="A18" s="9"/>
      <c r="B18" s="9"/>
      <c r="C18" s="9"/>
      <c r="D18" s="9"/>
      <c r="E18" s="10" t="str">
        <f aca="false">IF(A18="","",IF(SUMPRODUCT(--EXACT($A$2:$A$201,A18))&gt;1,"Duplicate type",IF(AND(B18&lt;&gt;"Measurement",B18&lt;&gt;"State or alarm"),"Kind must be Measurement or State or alarm",IF(AND(B18="Measurement",C18=""),"A measurement type needs a unit",IF(AND(B18="State or alarm",C18&lt;&gt;""),"A state or alarm has no unit","ok")))))</f>
        <v/>
      </c>
    </row>
    <row r="19" customFormat="false" ht="15" hidden="false" customHeight="false" outlineLevel="0" collapsed="false">
      <c r="A19" s="9"/>
      <c r="B19" s="9"/>
      <c r="C19" s="9"/>
      <c r="D19" s="9"/>
      <c r="E19" s="10" t="str">
        <f aca="false">IF(A19="","",IF(SUMPRODUCT(--EXACT($A$2:$A$201,A19))&gt;1,"Duplicate type",IF(AND(B19&lt;&gt;"Measurement",B19&lt;&gt;"State or alarm"),"Kind must be Measurement or State or alarm",IF(AND(B19="Measurement",C19=""),"A measurement type needs a unit",IF(AND(B19="State or alarm",C19&lt;&gt;""),"A state or alarm has no unit","ok")))))</f>
        <v/>
      </c>
    </row>
    <row r="20" customFormat="false" ht="15" hidden="false" customHeight="false" outlineLevel="0" collapsed="false">
      <c r="A20" s="9"/>
      <c r="B20" s="9"/>
      <c r="C20" s="9"/>
      <c r="D20" s="9"/>
      <c r="E20" s="10" t="str">
        <f aca="false">IF(A20="","",IF(SUMPRODUCT(--EXACT($A$2:$A$201,A20))&gt;1,"Duplicate type",IF(AND(B20&lt;&gt;"Measurement",B20&lt;&gt;"State or alarm"),"Kind must be Measurement or State or alarm",IF(AND(B20="Measurement",C20=""),"A measurement type needs a unit",IF(AND(B20="State or alarm",C20&lt;&gt;""),"A state or alarm has no unit","ok")))))</f>
        <v/>
      </c>
    </row>
    <row r="21" customFormat="false" ht="15" hidden="false" customHeight="false" outlineLevel="0" collapsed="false">
      <c r="A21" s="9"/>
      <c r="B21" s="9"/>
      <c r="C21" s="9"/>
      <c r="D21" s="9"/>
      <c r="E21" s="10" t="str">
        <f aca="false">IF(A21="","",IF(SUMPRODUCT(--EXACT($A$2:$A$201,A21))&gt;1,"Duplicate type",IF(AND(B21&lt;&gt;"Measurement",B21&lt;&gt;"State or alarm"),"Kind must be Measurement or State or alarm",IF(AND(B21="Measurement",C21=""),"A measurement type needs a unit",IF(AND(B21="State or alarm",C21&lt;&gt;""),"A state or alarm has no unit","ok")))))</f>
        <v/>
      </c>
    </row>
    <row r="22" customFormat="false" ht="15" hidden="false" customHeight="false" outlineLevel="0" collapsed="false">
      <c r="A22" s="9"/>
      <c r="B22" s="9"/>
      <c r="C22" s="9"/>
      <c r="D22" s="9"/>
      <c r="E22" s="10" t="str">
        <f aca="false">IF(A22="","",IF(SUMPRODUCT(--EXACT($A$2:$A$201,A22))&gt;1,"Duplicate type",IF(AND(B22&lt;&gt;"Measurement",B22&lt;&gt;"State or alarm"),"Kind must be Measurement or State or alarm",IF(AND(B22="Measurement",C22=""),"A measurement type needs a unit",IF(AND(B22="State or alarm",C22&lt;&gt;""),"A state or alarm has no unit","ok")))))</f>
        <v/>
      </c>
    </row>
    <row r="23" customFormat="false" ht="15" hidden="false" customHeight="false" outlineLevel="0" collapsed="false">
      <c r="A23" s="9"/>
      <c r="B23" s="9"/>
      <c r="C23" s="9"/>
      <c r="D23" s="9"/>
      <c r="E23" s="10" t="str">
        <f aca="false">IF(A23="","",IF(SUMPRODUCT(--EXACT($A$2:$A$201,A23))&gt;1,"Duplicate type",IF(AND(B23&lt;&gt;"Measurement",B23&lt;&gt;"State or alarm"),"Kind must be Measurement or State or alarm",IF(AND(B23="Measurement",C23=""),"A measurement type needs a unit",IF(AND(B23="State or alarm",C23&lt;&gt;""),"A state or alarm has no unit","ok")))))</f>
        <v/>
      </c>
    </row>
    <row r="24" customFormat="false" ht="15" hidden="false" customHeight="false" outlineLevel="0" collapsed="false">
      <c r="A24" s="9"/>
      <c r="B24" s="9"/>
      <c r="C24" s="9"/>
      <c r="D24" s="9"/>
      <c r="E24" s="10" t="str">
        <f aca="false">IF(A24="","",IF(SUMPRODUCT(--EXACT($A$2:$A$201,A24))&gt;1,"Duplicate type",IF(AND(B24&lt;&gt;"Measurement",B24&lt;&gt;"State or alarm"),"Kind must be Measurement or State or alarm",IF(AND(B24="Measurement",C24=""),"A measurement type needs a unit",IF(AND(B24="State or alarm",C24&lt;&gt;""),"A state or alarm has no unit","ok")))))</f>
        <v/>
      </c>
    </row>
    <row r="25" customFormat="false" ht="15" hidden="false" customHeight="false" outlineLevel="0" collapsed="false">
      <c r="A25" s="9"/>
      <c r="B25" s="9"/>
      <c r="C25" s="9"/>
      <c r="D25" s="9"/>
      <c r="E25" s="10" t="str">
        <f aca="false">IF(A25="","",IF(SUMPRODUCT(--EXACT($A$2:$A$201,A25))&gt;1,"Duplicate type",IF(AND(B25&lt;&gt;"Measurement",B25&lt;&gt;"State or alarm"),"Kind must be Measurement or State or alarm",IF(AND(B25="Measurement",C25=""),"A measurement type needs a unit",IF(AND(B25="State or alarm",C25&lt;&gt;""),"A state or alarm has no unit","ok")))))</f>
        <v/>
      </c>
    </row>
    <row r="26" customFormat="false" ht="15" hidden="false" customHeight="false" outlineLevel="0" collapsed="false">
      <c r="A26" s="9"/>
      <c r="B26" s="9"/>
      <c r="C26" s="9"/>
      <c r="D26" s="9"/>
      <c r="E26" s="10" t="str">
        <f aca="false">IF(A26="","",IF(SUMPRODUCT(--EXACT($A$2:$A$201,A26))&gt;1,"Duplicate type",IF(AND(B26&lt;&gt;"Measurement",B26&lt;&gt;"State or alarm"),"Kind must be Measurement or State or alarm",IF(AND(B26="Measurement",C26=""),"A measurement type needs a unit",IF(AND(B26="State or alarm",C26&lt;&gt;""),"A state or alarm has no unit","ok")))))</f>
        <v/>
      </c>
    </row>
    <row r="27" customFormat="false" ht="15" hidden="false" customHeight="false" outlineLevel="0" collapsed="false">
      <c r="A27" s="9"/>
      <c r="B27" s="9"/>
      <c r="C27" s="9"/>
      <c r="D27" s="9"/>
      <c r="E27" s="10" t="str">
        <f aca="false">IF(A27="","",IF(SUMPRODUCT(--EXACT($A$2:$A$201,A27))&gt;1,"Duplicate type",IF(AND(B27&lt;&gt;"Measurement",B27&lt;&gt;"State or alarm"),"Kind must be Measurement or State or alarm",IF(AND(B27="Measurement",C27=""),"A measurement type needs a unit",IF(AND(B27="State or alarm",C27&lt;&gt;""),"A state or alarm has no unit","ok")))))</f>
        <v/>
      </c>
    </row>
    <row r="28" customFormat="false" ht="15" hidden="false" customHeight="false" outlineLevel="0" collapsed="false">
      <c r="A28" s="9"/>
      <c r="B28" s="9"/>
      <c r="C28" s="9"/>
      <c r="D28" s="9"/>
      <c r="E28" s="10" t="str">
        <f aca="false">IF(A28="","",IF(SUMPRODUCT(--EXACT($A$2:$A$201,A28))&gt;1,"Duplicate type",IF(AND(B28&lt;&gt;"Measurement",B28&lt;&gt;"State or alarm"),"Kind must be Measurement or State or alarm",IF(AND(B28="Measurement",C28=""),"A measurement type needs a unit",IF(AND(B28="State or alarm",C28&lt;&gt;""),"A state or alarm has no unit","ok")))))</f>
        <v/>
      </c>
    </row>
    <row r="29" customFormat="false" ht="15" hidden="false" customHeight="false" outlineLevel="0" collapsed="false">
      <c r="A29" s="9"/>
      <c r="B29" s="9"/>
      <c r="C29" s="9"/>
      <c r="D29" s="9"/>
      <c r="E29" s="10" t="str">
        <f aca="false">IF(A29="","",IF(SUMPRODUCT(--EXACT($A$2:$A$201,A29))&gt;1,"Duplicate type",IF(AND(B29&lt;&gt;"Measurement",B29&lt;&gt;"State or alarm"),"Kind must be Measurement or State or alarm",IF(AND(B29="Measurement",C29=""),"A measurement type needs a unit",IF(AND(B29="State or alarm",C29&lt;&gt;""),"A state or alarm has no unit","ok")))))</f>
        <v/>
      </c>
    </row>
    <row r="30" customFormat="false" ht="15" hidden="false" customHeight="false" outlineLevel="0" collapsed="false">
      <c r="A30" s="9"/>
      <c r="B30" s="9"/>
      <c r="C30" s="9"/>
      <c r="D30" s="9"/>
      <c r="E30" s="10" t="str">
        <f aca="false">IF(A30="","",IF(SUMPRODUCT(--EXACT($A$2:$A$201,A30))&gt;1,"Duplicate type",IF(AND(B30&lt;&gt;"Measurement",B30&lt;&gt;"State or alarm"),"Kind must be Measurement or State or alarm",IF(AND(B30="Measurement",C30=""),"A measurement type needs a unit",IF(AND(B30="State or alarm",C30&lt;&gt;""),"A state or alarm has no unit","ok")))))</f>
        <v/>
      </c>
    </row>
    <row r="31" customFormat="false" ht="15" hidden="false" customHeight="false" outlineLevel="0" collapsed="false">
      <c r="A31" s="9"/>
      <c r="B31" s="9"/>
      <c r="C31" s="9"/>
      <c r="D31" s="9"/>
      <c r="E31" s="10" t="str">
        <f aca="false">IF(A31="","",IF(SUMPRODUCT(--EXACT($A$2:$A$201,A31))&gt;1,"Duplicate type",IF(AND(B31&lt;&gt;"Measurement",B31&lt;&gt;"State or alarm"),"Kind must be Measurement or State or alarm",IF(AND(B31="Measurement",C31=""),"A measurement type needs a unit",IF(AND(B31="State or alarm",C31&lt;&gt;""),"A state or alarm has no unit","ok")))))</f>
        <v/>
      </c>
    </row>
    <row r="32" customFormat="false" ht="15" hidden="false" customHeight="false" outlineLevel="0" collapsed="false">
      <c r="A32" s="9"/>
      <c r="B32" s="9"/>
      <c r="C32" s="9"/>
      <c r="D32" s="9"/>
      <c r="E32" s="10" t="str">
        <f aca="false">IF(A32="","",IF(SUMPRODUCT(--EXACT($A$2:$A$201,A32))&gt;1,"Duplicate type",IF(AND(B32&lt;&gt;"Measurement",B32&lt;&gt;"State or alarm"),"Kind must be Measurement or State or alarm",IF(AND(B32="Measurement",C32=""),"A measurement type needs a unit",IF(AND(B32="State or alarm",C32&lt;&gt;""),"A state or alarm has no unit","ok")))))</f>
        <v/>
      </c>
    </row>
    <row r="33" customFormat="false" ht="15" hidden="false" customHeight="false" outlineLevel="0" collapsed="false">
      <c r="A33" s="9"/>
      <c r="B33" s="9"/>
      <c r="C33" s="9"/>
      <c r="D33" s="9"/>
      <c r="E33" s="10" t="str">
        <f aca="false">IF(A33="","",IF(SUMPRODUCT(--EXACT($A$2:$A$201,A33))&gt;1,"Duplicate type",IF(AND(B33&lt;&gt;"Measurement",B33&lt;&gt;"State or alarm"),"Kind must be Measurement or State or alarm",IF(AND(B33="Measurement",C33=""),"A measurement type needs a unit",IF(AND(B33="State or alarm",C33&lt;&gt;""),"A state or alarm has no unit","ok")))))</f>
        <v/>
      </c>
    </row>
    <row r="34" customFormat="false" ht="15" hidden="false" customHeight="false" outlineLevel="0" collapsed="false">
      <c r="A34" s="9"/>
      <c r="B34" s="9"/>
      <c r="C34" s="9"/>
      <c r="D34" s="9"/>
      <c r="E34" s="10" t="str">
        <f aca="false">IF(A34="","",IF(SUMPRODUCT(--EXACT($A$2:$A$201,A34))&gt;1,"Duplicate type",IF(AND(B34&lt;&gt;"Measurement",B34&lt;&gt;"State or alarm"),"Kind must be Measurement or State or alarm",IF(AND(B34="Measurement",C34=""),"A measurement type needs a unit",IF(AND(B34="State or alarm",C34&lt;&gt;""),"A state or alarm has no unit","ok")))))</f>
        <v/>
      </c>
    </row>
    <row r="35" customFormat="false" ht="15" hidden="false" customHeight="false" outlineLevel="0" collapsed="false">
      <c r="A35" s="9"/>
      <c r="B35" s="9"/>
      <c r="C35" s="9"/>
      <c r="D35" s="9"/>
      <c r="E35" s="10" t="str">
        <f aca="false">IF(A35="","",IF(SUMPRODUCT(--EXACT($A$2:$A$201,A35))&gt;1,"Duplicate type",IF(AND(B35&lt;&gt;"Measurement",B35&lt;&gt;"State or alarm"),"Kind must be Measurement or State or alarm",IF(AND(B35="Measurement",C35=""),"A measurement type needs a unit",IF(AND(B35="State or alarm",C35&lt;&gt;""),"A state or alarm has no unit","ok")))))</f>
        <v/>
      </c>
    </row>
    <row r="36" customFormat="false" ht="15" hidden="false" customHeight="false" outlineLevel="0" collapsed="false">
      <c r="A36" s="9"/>
      <c r="B36" s="9"/>
      <c r="C36" s="9"/>
      <c r="D36" s="9"/>
      <c r="E36" s="10" t="str">
        <f aca="false">IF(A36="","",IF(SUMPRODUCT(--EXACT($A$2:$A$201,A36))&gt;1,"Duplicate type",IF(AND(B36&lt;&gt;"Measurement",B36&lt;&gt;"State or alarm"),"Kind must be Measurement or State or alarm",IF(AND(B36="Measurement",C36=""),"A measurement type needs a unit",IF(AND(B36="State or alarm",C36&lt;&gt;""),"A state or alarm has no unit","ok")))))</f>
        <v/>
      </c>
    </row>
    <row r="37" customFormat="false" ht="15" hidden="false" customHeight="false" outlineLevel="0" collapsed="false">
      <c r="A37" s="9"/>
      <c r="B37" s="9"/>
      <c r="C37" s="9"/>
      <c r="D37" s="9"/>
      <c r="E37" s="10" t="str">
        <f aca="false">IF(A37="","",IF(SUMPRODUCT(--EXACT($A$2:$A$201,A37))&gt;1,"Duplicate type",IF(AND(B37&lt;&gt;"Measurement",B37&lt;&gt;"State or alarm"),"Kind must be Measurement or State or alarm",IF(AND(B37="Measurement",C37=""),"A measurement type needs a unit",IF(AND(B37="State or alarm",C37&lt;&gt;""),"A state or alarm has no unit","ok")))))</f>
        <v/>
      </c>
    </row>
    <row r="38" customFormat="false" ht="15" hidden="false" customHeight="false" outlineLevel="0" collapsed="false">
      <c r="A38" s="9"/>
      <c r="B38" s="9"/>
      <c r="C38" s="9"/>
      <c r="D38" s="9"/>
      <c r="E38" s="10" t="str">
        <f aca="false">IF(A38="","",IF(SUMPRODUCT(--EXACT($A$2:$A$201,A38))&gt;1,"Duplicate type",IF(AND(B38&lt;&gt;"Measurement",B38&lt;&gt;"State or alarm"),"Kind must be Measurement or State or alarm",IF(AND(B38="Measurement",C38=""),"A measurement type needs a unit",IF(AND(B38="State or alarm",C38&lt;&gt;""),"A state or alarm has no unit","ok")))))</f>
        <v/>
      </c>
    </row>
    <row r="39" customFormat="false" ht="15" hidden="false" customHeight="false" outlineLevel="0" collapsed="false">
      <c r="A39" s="9"/>
      <c r="B39" s="9"/>
      <c r="C39" s="9"/>
      <c r="D39" s="9"/>
      <c r="E39" s="10" t="str">
        <f aca="false">IF(A39="","",IF(SUMPRODUCT(--EXACT($A$2:$A$201,A39))&gt;1,"Duplicate type",IF(AND(B39&lt;&gt;"Measurement",B39&lt;&gt;"State or alarm"),"Kind must be Measurement or State or alarm",IF(AND(B39="Measurement",C39=""),"A measurement type needs a unit",IF(AND(B39="State or alarm",C39&lt;&gt;""),"A state or alarm has no unit","ok")))))</f>
        <v/>
      </c>
    </row>
    <row r="40" customFormat="false" ht="15" hidden="false" customHeight="false" outlineLevel="0" collapsed="false">
      <c r="A40" s="9"/>
      <c r="B40" s="9"/>
      <c r="C40" s="9"/>
      <c r="D40" s="9"/>
      <c r="E40" s="10" t="str">
        <f aca="false">IF(A40="","",IF(SUMPRODUCT(--EXACT($A$2:$A$201,A40))&gt;1,"Duplicate type",IF(AND(B40&lt;&gt;"Measurement",B40&lt;&gt;"State or alarm"),"Kind must be Measurement or State or alarm",IF(AND(B40="Measurement",C40=""),"A measurement type needs a unit",IF(AND(B40="State or alarm",C40&lt;&gt;""),"A state or alarm has no unit","ok")))))</f>
        <v/>
      </c>
    </row>
    <row r="41" customFormat="false" ht="15" hidden="false" customHeight="false" outlineLevel="0" collapsed="false">
      <c r="A41" s="9"/>
      <c r="B41" s="9"/>
      <c r="C41" s="9"/>
      <c r="D41" s="9"/>
      <c r="E41" s="10" t="str">
        <f aca="false">IF(A41="","",IF(SUMPRODUCT(--EXACT($A$2:$A$201,A41))&gt;1,"Duplicate type",IF(AND(B41&lt;&gt;"Measurement",B41&lt;&gt;"State or alarm"),"Kind must be Measurement or State or alarm",IF(AND(B41="Measurement",C41=""),"A measurement type needs a unit",IF(AND(B41="State or alarm",C41&lt;&gt;""),"A state or alarm has no unit","ok")))))</f>
        <v/>
      </c>
    </row>
    <row r="42" customFormat="false" ht="15" hidden="false" customHeight="false" outlineLevel="0" collapsed="false">
      <c r="A42" s="9"/>
      <c r="B42" s="9"/>
      <c r="C42" s="9"/>
      <c r="D42" s="9"/>
      <c r="E42" s="10" t="str">
        <f aca="false">IF(A42="","",IF(SUMPRODUCT(--EXACT($A$2:$A$201,A42))&gt;1,"Duplicate type",IF(AND(B42&lt;&gt;"Measurement",B42&lt;&gt;"State or alarm"),"Kind must be Measurement or State or alarm",IF(AND(B42="Measurement",C42=""),"A measurement type needs a unit",IF(AND(B42="State or alarm",C42&lt;&gt;""),"A state or alarm has no unit","ok")))))</f>
        <v/>
      </c>
    </row>
    <row r="43" customFormat="false" ht="15" hidden="false" customHeight="false" outlineLevel="0" collapsed="false">
      <c r="A43" s="9"/>
      <c r="B43" s="9"/>
      <c r="C43" s="9"/>
      <c r="D43" s="9"/>
      <c r="E43" s="10" t="str">
        <f aca="false">IF(A43="","",IF(SUMPRODUCT(--EXACT($A$2:$A$201,A43))&gt;1,"Duplicate type",IF(AND(B43&lt;&gt;"Measurement",B43&lt;&gt;"State or alarm"),"Kind must be Measurement or State or alarm",IF(AND(B43="Measurement",C43=""),"A measurement type needs a unit",IF(AND(B43="State or alarm",C43&lt;&gt;""),"A state or alarm has no unit","ok")))))</f>
        <v/>
      </c>
    </row>
    <row r="44" customFormat="false" ht="15" hidden="false" customHeight="false" outlineLevel="0" collapsed="false">
      <c r="A44" s="9"/>
      <c r="B44" s="9"/>
      <c r="C44" s="9"/>
      <c r="D44" s="9"/>
      <c r="E44" s="10" t="str">
        <f aca="false">IF(A44="","",IF(SUMPRODUCT(--EXACT($A$2:$A$201,A44))&gt;1,"Duplicate type",IF(AND(B44&lt;&gt;"Measurement",B44&lt;&gt;"State or alarm"),"Kind must be Measurement or State or alarm",IF(AND(B44="Measurement",C44=""),"A measurement type needs a unit",IF(AND(B44="State or alarm",C44&lt;&gt;""),"A state or alarm has no unit","ok")))))</f>
        <v/>
      </c>
    </row>
    <row r="45" customFormat="false" ht="15" hidden="false" customHeight="false" outlineLevel="0" collapsed="false">
      <c r="A45" s="9"/>
      <c r="B45" s="9"/>
      <c r="C45" s="9"/>
      <c r="D45" s="9"/>
      <c r="E45" s="10" t="str">
        <f aca="false">IF(A45="","",IF(SUMPRODUCT(--EXACT($A$2:$A$201,A45))&gt;1,"Duplicate type",IF(AND(B45&lt;&gt;"Measurement",B45&lt;&gt;"State or alarm"),"Kind must be Measurement or State or alarm",IF(AND(B45="Measurement",C45=""),"A measurement type needs a unit",IF(AND(B45="State or alarm",C45&lt;&gt;""),"A state or alarm has no unit","ok")))))</f>
        <v/>
      </c>
    </row>
    <row r="46" customFormat="false" ht="15" hidden="false" customHeight="false" outlineLevel="0" collapsed="false">
      <c r="A46" s="9"/>
      <c r="B46" s="9"/>
      <c r="C46" s="9"/>
      <c r="D46" s="9"/>
      <c r="E46" s="10" t="str">
        <f aca="false">IF(A46="","",IF(SUMPRODUCT(--EXACT($A$2:$A$201,A46))&gt;1,"Duplicate type",IF(AND(B46&lt;&gt;"Measurement",B46&lt;&gt;"State or alarm"),"Kind must be Measurement or State or alarm",IF(AND(B46="Measurement",C46=""),"A measurement type needs a unit",IF(AND(B46="State or alarm",C46&lt;&gt;""),"A state or alarm has no unit","ok")))))</f>
        <v/>
      </c>
    </row>
    <row r="47" customFormat="false" ht="15" hidden="false" customHeight="false" outlineLevel="0" collapsed="false">
      <c r="A47" s="9"/>
      <c r="B47" s="9"/>
      <c r="C47" s="9"/>
      <c r="D47" s="9"/>
      <c r="E47" s="10" t="str">
        <f aca="false">IF(A47="","",IF(SUMPRODUCT(--EXACT($A$2:$A$201,A47))&gt;1,"Duplicate type",IF(AND(B47&lt;&gt;"Measurement",B47&lt;&gt;"State or alarm"),"Kind must be Measurement or State or alarm",IF(AND(B47="Measurement",C47=""),"A measurement type needs a unit",IF(AND(B47="State or alarm",C47&lt;&gt;""),"A state or alarm has no unit","ok")))))</f>
        <v/>
      </c>
    </row>
    <row r="48" customFormat="false" ht="15" hidden="false" customHeight="false" outlineLevel="0" collapsed="false">
      <c r="A48" s="9"/>
      <c r="B48" s="9"/>
      <c r="C48" s="9"/>
      <c r="D48" s="9"/>
      <c r="E48" s="10" t="str">
        <f aca="false">IF(A48="","",IF(SUMPRODUCT(--EXACT($A$2:$A$201,A48))&gt;1,"Duplicate type",IF(AND(B48&lt;&gt;"Measurement",B48&lt;&gt;"State or alarm"),"Kind must be Measurement or State or alarm",IF(AND(B48="Measurement",C48=""),"A measurement type needs a unit",IF(AND(B48="State or alarm",C48&lt;&gt;""),"A state or alarm has no unit","ok")))))</f>
        <v/>
      </c>
    </row>
    <row r="49" customFormat="false" ht="15" hidden="false" customHeight="false" outlineLevel="0" collapsed="false">
      <c r="A49" s="9"/>
      <c r="B49" s="9"/>
      <c r="C49" s="9"/>
      <c r="D49" s="9"/>
      <c r="E49" s="10" t="str">
        <f aca="false">IF(A49="","",IF(SUMPRODUCT(--EXACT($A$2:$A$201,A49))&gt;1,"Duplicate type",IF(AND(B49&lt;&gt;"Measurement",B49&lt;&gt;"State or alarm"),"Kind must be Measurement or State or alarm",IF(AND(B49="Measurement",C49=""),"A measurement type needs a unit",IF(AND(B49="State or alarm",C49&lt;&gt;""),"A state or alarm has no unit","ok")))))</f>
        <v/>
      </c>
    </row>
    <row r="50" customFormat="false" ht="15" hidden="false" customHeight="false" outlineLevel="0" collapsed="false">
      <c r="A50" s="9"/>
      <c r="B50" s="9"/>
      <c r="C50" s="9"/>
      <c r="D50" s="9"/>
      <c r="E50" s="10" t="str">
        <f aca="false">IF(A50="","",IF(SUMPRODUCT(--EXACT($A$2:$A$201,A50))&gt;1,"Duplicate type",IF(AND(B50&lt;&gt;"Measurement",B50&lt;&gt;"State or alarm"),"Kind must be Measurement or State or alarm",IF(AND(B50="Measurement",C50=""),"A measurement type needs a unit",IF(AND(B50="State or alarm",C50&lt;&gt;""),"A state or alarm has no unit","ok")))))</f>
        <v/>
      </c>
    </row>
    <row r="51" customFormat="false" ht="15" hidden="false" customHeight="false" outlineLevel="0" collapsed="false">
      <c r="A51" s="9"/>
      <c r="B51" s="9"/>
      <c r="C51" s="9"/>
      <c r="D51" s="9"/>
      <c r="E51" s="10" t="str">
        <f aca="false">IF(A51="","",IF(SUMPRODUCT(--EXACT($A$2:$A$201,A51))&gt;1,"Duplicate type",IF(AND(B51&lt;&gt;"Measurement",B51&lt;&gt;"State or alarm"),"Kind must be Measurement or State or alarm",IF(AND(B51="Measurement",C51=""),"A measurement type needs a unit",IF(AND(B51="State or alarm",C51&lt;&gt;""),"A state or alarm has no unit","ok")))))</f>
        <v/>
      </c>
    </row>
    <row r="52" customFormat="false" ht="15" hidden="false" customHeight="false" outlineLevel="0" collapsed="false">
      <c r="A52" s="9"/>
      <c r="B52" s="9"/>
      <c r="C52" s="9"/>
      <c r="D52" s="9"/>
      <c r="E52" s="10" t="str">
        <f aca="false">IF(A52="","",IF(SUMPRODUCT(--EXACT($A$2:$A$201,A52))&gt;1,"Duplicate type",IF(AND(B52&lt;&gt;"Measurement",B52&lt;&gt;"State or alarm"),"Kind must be Measurement or State or alarm",IF(AND(B52="Measurement",C52=""),"A measurement type needs a unit",IF(AND(B52="State or alarm",C52&lt;&gt;""),"A state or alarm has no unit","ok")))))</f>
        <v/>
      </c>
    </row>
    <row r="53" customFormat="false" ht="15" hidden="false" customHeight="false" outlineLevel="0" collapsed="false">
      <c r="A53" s="9"/>
      <c r="B53" s="9"/>
      <c r="C53" s="9"/>
      <c r="D53" s="9"/>
      <c r="E53" s="10" t="str">
        <f aca="false">IF(A53="","",IF(SUMPRODUCT(--EXACT($A$2:$A$201,A53))&gt;1,"Duplicate type",IF(AND(B53&lt;&gt;"Measurement",B53&lt;&gt;"State or alarm"),"Kind must be Measurement or State or alarm",IF(AND(B53="Measurement",C53=""),"A measurement type needs a unit",IF(AND(B53="State or alarm",C53&lt;&gt;""),"A state or alarm has no unit","ok")))))</f>
        <v/>
      </c>
    </row>
    <row r="54" customFormat="false" ht="15" hidden="false" customHeight="false" outlineLevel="0" collapsed="false">
      <c r="A54" s="9"/>
      <c r="B54" s="9"/>
      <c r="C54" s="9"/>
      <c r="D54" s="9"/>
      <c r="E54" s="10" t="str">
        <f aca="false">IF(A54="","",IF(SUMPRODUCT(--EXACT($A$2:$A$201,A54))&gt;1,"Duplicate type",IF(AND(B54&lt;&gt;"Measurement",B54&lt;&gt;"State or alarm"),"Kind must be Measurement or State or alarm",IF(AND(B54="Measurement",C54=""),"A measurement type needs a unit",IF(AND(B54="State or alarm",C54&lt;&gt;""),"A state or alarm has no unit","ok")))))</f>
        <v/>
      </c>
    </row>
    <row r="55" customFormat="false" ht="15" hidden="false" customHeight="false" outlineLevel="0" collapsed="false">
      <c r="A55" s="9"/>
      <c r="B55" s="9"/>
      <c r="C55" s="9"/>
      <c r="D55" s="9"/>
      <c r="E55" s="10" t="str">
        <f aca="false">IF(A55="","",IF(SUMPRODUCT(--EXACT($A$2:$A$201,A55))&gt;1,"Duplicate type",IF(AND(B55&lt;&gt;"Measurement",B55&lt;&gt;"State or alarm"),"Kind must be Measurement or State or alarm",IF(AND(B55="Measurement",C55=""),"A measurement type needs a unit",IF(AND(B55="State or alarm",C55&lt;&gt;""),"A state or alarm has no unit","ok")))))</f>
        <v/>
      </c>
    </row>
    <row r="56" customFormat="false" ht="15" hidden="false" customHeight="false" outlineLevel="0" collapsed="false">
      <c r="A56" s="9"/>
      <c r="B56" s="9"/>
      <c r="C56" s="9"/>
      <c r="D56" s="9"/>
      <c r="E56" s="10" t="str">
        <f aca="false">IF(A56="","",IF(SUMPRODUCT(--EXACT($A$2:$A$201,A56))&gt;1,"Duplicate type",IF(AND(B56&lt;&gt;"Measurement",B56&lt;&gt;"State or alarm"),"Kind must be Measurement or State or alarm",IF(AND(B56="Measurement",C56=""),"A measurement type needs a unit",IF(AND(B56="State or alarm",C56&lt;&gt;""),"A state or alarm has no unit","ok")))))</f>
        <v/>
      </c>
    </row>
    <row r="57" customFormat="false" ht="15" hidden="false" customHeight="false" outlineLevel="0" collapsed="false">
      <c r="A57" s="9"/>
      <c r="B57" s="9"/>
      <c r="C57" s="9"/>
      <c r="D57" s="9"/>
      <c r="E57" s="10" t="str">
        <f aca="false">IF(A57="","",IF(SUMPRODUCT(--EXACT($A$2:$A$201,A57))&gt;1,"Duplicate type",IF(AND(B57&lt;&gt;"Measurement",B57&lt;&gt;"State or alarm"),"Kind must be Measurement or State or alarm",IF(AND(B57="Measurement",C57=""),"A measurement type needs a unit",IF(AND(B57="State or alarm",C57&lt;&gt;""),"A state or alarm has no unit","ok")))))</f>
        <v/>
      </c>
    </row>
    <row r="58" customFormat="false" ht="15" hidden="false" customHeight="false" outlineLevel="0" collapsed="false">
      <c r="A58" s="9"/>
      <c r="B58" s="9"/>
      <c r="C58" s="9"/>
      <c r="D58" s="9"/>
      <c r="E58" s="10" t="str">
        <f aca="false">IF(A58="","",IF(SUMPRODUCT(--EXACT($A$2:$A$201,A58))&gt;1,"Duplicate type",IF(AND(B58&lt;&gt;"Measurement",B58&lt;&gt;"State or alarm"),"Kind must be Measurement or State or alarm",IF(AND(B58="Measurement",C58=""),"A measurement type needs a unit",IF(AND(B58="State or alarm",C58&lt;&gt;""),"A state or alarm has no unit","ok")))))</f>
        <v/>
      </c>
    </row>
    <row r="59" customFormat="false" ht="15" hidden="false" customHeight="false" outlineLevel="0" collapsed="false">
      <c r="A59" s="9"/>
      <c r="B59" s="9"/>
      <c r="C59" s="9"/>
      <c r="D59" s="9"/>
      <c r="E59" s="10" t="str">
        <f aca="false">IF(A59="","",IF(SUMPRODUCT(--EXACT($A$2:$A$201,A59))&gt;1,"Duplicate type",IF(AND(B59&lt;&gt;"Measurement",B59&lt;&gt;"State or alarm"),"Kind must be Measurement or State or alarm",IF(AND(B59="Measurement",C59=""),"A measurement type needs a unit",IF(AND(B59="State or alarm",C59&lt;&gt;""),"A state or alarm has no unit","ok")))))</f>
        <v/>
      </c>
    </row>
    <row r="60" customFormat="false" ht="15" hidden="false" customHeight="false" outlineLevel="0" collapsed="false">
      <c r="A60" s="9"/>
      <c r="B60" s="9"/>
      <c r="C60" s="9"/>
      <c r="D60" s="9"/>
      <c r="E60" s="10" t="str">
        <f aca="false">IF(A60="","",IF(SUMPRODUCT(--EXACT($A$2:$A$201,A60))&gt;1,"Duplicate type",IF(AND(B60&lt;&gt;"Measurement",B60&lt;&gt;"State or alarm"),"Kind must be Measurement or State or alarm",IF(AND(B60="Measurement",C60=""),"A measurement type needs a unit",IF(AND(B60="State or alarm",C60&lt;&gt;""),"A state or alarm has no unit","ok")))))</f>
        <v/>
      </c>
    </row>
    <row r="61" customFormat="false" ht="15" hidden="false" customHeight="false" outlineLevel="0" collapsed="false">
      <c r="A61" s="9"/>
      <c r="B61" s="9"/>
      <c r="C61" s="9"/>
      <c r="D61" s="9"/>
      <c r="E61" s="10" t="str">
        <f aca="false">IF(A61="","",IF(SUMPRODUCT(--EXACT($A$2:$A$201,A61))&gt;1,"Duplicate type",IF(AND(B61&lt;&gt;"Measurement",B61&lt;&gt;"State or alarm"),"Kind must be Measurement or State or alarm",IF(AND(B61="Measurement",C61=""),"A measurement type needs a unit",IF(AND(B61="State or alarm",C61&lt;&gt;""),"A state or alarm has no unit","ok")))))</f>
        <v/>
      </c>
    </row>
    <row r="62" customFormat="false" ht="15" hidden="false" customHeight="false" outlineLevel="0" collapsed="false">
      <c r="A62" s="9"/>
      <c r="B62" s="9"/>
      <c r="C62" s="9"/>
      <c r="D62" s="9"/>
      <c r="E62" s="10" t="str">
        <f aca="false">IF(A62="","",IF(SUMPRODUCT(--EXACT($A$2:$A$201,A62))&gt;1,"Duplicate type",IF(AND(B62&lt;&gt;"Measurement",B62&lt;&gt;"State or alarm"),"Kind must be Measurement or State or alarm",IF(AND(B62="Measurement",C62=""),"A measurement type needs a unit",IF(AND(B62="State or alarm",C62&lt;&gt;""),"A state or alarm has no unit","ok")))))</f>
        <v/>
      </c>
    </row>
    <row r="63" customFormat="false" ht="15" hidden="false" customHeight="false" outlineLevel="0" collapsed="false">
      <c r="A63" s="9"/>
      <c r="B63" s="9"/>
      <c r="C63" s="9"/>
      <c r="D63" s="9"/>
      <c r="E63" s="10" t="str">
        <f aca="false">IF(A63="","",IF(SUMPRODUCT(--EXACT($A$2:$A$201,A63))&gt;1,"Duplicate type",IF(AND(B63&lt;&gt;"Measurement",B63&lt;&gt;"State or alarm"),"Kind must be Measurement or State or alarm",IF(AND(B63="Measurement",C63=""),"A measurement type needs a unit",IF(AND(B63="State or alarm",C63&lt;&gt;""),"A state or alarm has no unit","ok")))))</f>
        <v/>
      </c>
    </row>
    <row r="64" customFormat="false" ht="15" hidden="false" customHeight="false" outlineLevel="0" collapsed="false">
      <c r="A64" s="9"/>
      <c r="B64" s="9"/>
      <c r="C64" s="9"/>
      <c r="D64" s="9"/>
      <c r="E64" s="10" t="str">
        <f aca="false">IF(A64="","",IF(SUMPRODUCT(--EXACT($A$2:$A$201,A64))&gt;1,"Duplicate type",IF(AND(B64&lt;&gt;"Measurement",B64&lt;&gt;"State or alarm"),"Kind must be Measurement or State or alarm",IF(AND(B64="Measurement",C64=""),"A measurement type needs a unit",IF(AND(B64="State or alarm",C64&lt;&gt;""),"A state or alarm has no unit","ok")))))</f>
        <v/>
      </c>
    </row>
    <row r="65" customFormat="false" ht="15" hidden="false" customHeight="false" outlineLevel="0" collapsed="false">
      <c r="A65" s="9"/>
      <c r="B65" s="9"/>
      <c r="C65" s="9"/>
      <c r="D65" s="9"/>
      <c r="E65" s="10" t="str">
        <f aca="false">IF(A65="","",IF(SUMPRODUCT(--EXACT($A$2:$A$201,A65))&gt;1,"Duplicate type",IF(AND(B65&lt;&gt;"Measurement",B65&lt;&gt;"State or alarm"),"Kind must be Measurement or State or alarm",IF(AND(B65="Measurement",C65=""),"A measurement type needs a unit",IF(AND(B65="State or alarm",C65&lt;&gt;""),"A state or alarm has no unit","ok")))))</f>
        <v/>
      </c>
    </row>
    <row r="66" customFormat="false" ht="15" hidden="false" customHeight="false" outlineLevel="0" collapsed="false">
      <c r="A66" s="9"/>
      <c r="B66" s="9"/>
      <c r="C66" s="9"/>
      <c r="D66" s="9"/>
      <c r="E66" s="10" t="str">
        <f aca="false">IF(A66="","",IF(SUMPRODUCT(--EXACT($A$2:$A$201,A66))&gt;1,"Duplicate type",IF(AND(B66&lt;&gt;"Measurement",B66&lt;&gt;"State or alarm"),"Kind must be Measurement or State or alarm",IF(AND(B66="Measurement",C66=""),"A measurement type needs a unit",IF(AND(B66="State or alarm",C66&lt;&gt;""),"A state or alarm has no unit","ok")))))</f>
        <v/>
      </c>
    </row>
    <row r="67" customFormat="false" ht="15" hidden="false" customHeight="false" outlineLevel="0" collapsed="false">
      <c r="A67" s="9"/>
      <c r="B67" s="9"/>
      <c r="C67" s="9"/>
      <c r="D67" s="9"/>
      <c r="E67" s="10" t="str">
        <f aca="false">IF(A67="","",IF(SUMPRODUCT(--EXACT($A$2:$A$201,A67))&gt;1,"Duplicate type",IF(AND(B67&lt;&gt;"Measurement",B67&lt;&gt;"State or alarm"),"Kind must be Measurement or State or alarm",IF(AND(B67="Measurement",C67=""),"A measurement type needs a unit",IF(AND(B67="State or alarm",C67&lt;&gt;""),"A state or alarm has no unit","ok")))))</f>
        <v/>
      </c>
    </row>
    <row r="68" customFormat="false" ht="15" hidden="false" customHeight="false" outlineLevel="0" collapsed="false">
      <c r="A68" s="9"/>
      <c r="B68" s="9"/>
      <c r="C68" s="9"/>
      <c r="D68" s="9"/>
      <c r="E68" s="10" t="str">
        <f aca="false">IF(A68="","",IF(SUMPRODUCT(--EXACT($A$2:$A$201,A68))&gt;1,"Duplicate type",IF(AND(B68&lt;&gt;"Measurement",B68&lt;&gt;"State or alarm"),"Kind must be Measurement or State or alarm",IF(AND(B68="Measurement",C68=""),"A measurement type needs a unit",IF(AND(B68="State or alarm",C68&lt;&gt;""),"A state or alarm has no unit","ok")))))</f>
        <v/>
      </c>
    </row>
    <row r="69" customFormat="false" ht="15" hidden="false" customHeight="false" outlineLevel="0" collapsed="false">
      <c r="A69" s="9"/>
      <c r="B69" s="9"/>
      <c r="C69" s="9"/>
      <c r="D69" s="9"/>
      <c r="E69" s="10" t="str">
        <f aca="false">IF(A69="","",IF(SUMPRODUCT(--EXACT($A$2:$A$201,A69))&gt;1,"Duplicate type",IF(AND(B69&lt;&gt;"Measurement",B69&lt;&gt;"State or alarm"),"Kind must be Measurement or State or alarm",IF(AND(B69="Measurement",C69=""),"A measurement type needs a unit",IF(AND(B69="State or alarm",C69&lt;&gt;""),"A state or alarm has no unit","ok")))))</f>
        <v/>
      </c>
    </row>
    <row r="70" customFormat="false" ht="15" hidden="false" customHeight="false" outlineLevel="0" collapsed="false">
      <c r="A70" s="9"/>
      <c r="B70" s="9"/>
      <c r="C70" s="9"/>
      <c r="D70" s="9"/>
      <c r="E70" s="10" t="str">
        <f aca="false">IF(A70="","",IF(SUMPRODUCT(--EXACT($A$2:$A$201,A70))&gt;1,"Duplicate type",IF(AND(B70&lt;&gt;"Measurement",B70&lt;&gt;"State or alarm"),"Kind must be Measurement or State or alarm",IF(AND(B70="Measurement",C70=""),"A measurement type needs a unit",IF(AND(B70="State or alarm",C70&lt;&gt;""),"A state or alarm has no unit","ok")))))</f>
        <v/>
      </c>
    </row>
    <row r="71" customFormat="false" ht="15" hidden="false" customHeight="false" outlineLevel="0" collapsed="false">
      <c r="A71" s="9"/>
      <c r="B71" s="9"/>
      <c r="C71" s="9"/>
      <c r="D71" s="9"/>
      <c r="E71" s="10" t="str">
        <f aca="false">IF(A71="","",IF(SUMPRODUCT(--EXACT($A$2:$A$201,A71))&gt;1,"Duplicate type",IF(AND(B71&lt;&gt;"Measurement",B71&lt;&gt;"State or alarm"),"Kind must be Measurement or State or alarm",IF(AND(B71="Measurement",C71=""),"A measurement type needs a unit",IF(AND(B71="State or alarm",C71&lt;&gt;""),"A state or alarm has no unit","ok")))))</f>
        <v/>
      </c>
    </row>
    <row r="72" customFormat="false" ht="15" hidden="false" customHeight="false" outlineLevel="0" collapsed="false">
      <c r="A72" s="9"/>
      <c r="B72" s="9"/>
      <c r="C72" s="9"/>
      <c r="D72" s="9"/>
      <c r="E72" s="10" t="str">
        <f aca="false">IF(A72="","",IF(SUMPRODUCT(--EXACT($A$2:$A$201,A72))&gt;1,"Duplicate type",IF(AND(B72&lt;&gt;"Measurement",B72&lt;&gt;"State or alarm"),"Kind must be Measurement or State or alarm",IF(AND(B72="Measurement",C72=""),"A measurement type needs a unit",IF(AND(B72="State or alarm",C72&lt;&gt;""),"A state or alarm has no unit","ok")))))</f>
        <v/>
      </c>
    </row>
    <row r="73" customFormat="false" ht="15" hidden="false" customHeight="false" outlineLevel="0" collapsed="false">
      <c r="A73" s="9"/>
      <c r="B73" s="9"/>
      <c r="C73" s="9"/>
      <c r="D73" s="9"/>
      <c r="E73" s="10" t="str">
        <f aca="false">IF(A73="","",IF(SUMPRODUCT(--EXACT($A$2:$A$201,A73))&gt;1,"Duplicate type",IF(AND(B73&lt;&gt;"Measurement",B73&lt;&gt;"State or alarm"),"Kind must be Measurement or State or alarm",IF(AND(B73="Measurement",C73=""),"A measurement type needs a unit",IF(AND(B73="State or alarm",C73&lt;&gt;""),"A state or alarm has no unit","ok")))))</f>
        <v/>
      </c>
    </row>
    <row r="74" customFormat="false" ht="15" hidden="false" customHeight="false" outlineLevel="0" collapsed="false">
      <c r="A74" s="9"/>
      <c r="B74" s="9"/>
      <c r="C74" s="9"/>
      <c r="D74" s="9"/>
      <c r="E74" s="10" t="str">
        <f aca="false">IF(A74="","",IF(SUMPRODUCT(--EXACT($A$2:$A$201,A74))&gt;1,"Duplicate type",IF(AND(B74&lt;&gt;"Measurement",B74&lt;&gt;"State or alarm"),"Kind must be Measurement or State or alarm",IF(AND(B74="Measurement",C74=""),"A measurement type needs a unit",IF(AND(B74="State or alarm",C74&lt;&gt;""),"A state or alarm has no unit","ok")))))</f>
        <v/>
      </c>
    </row>
    <row r="75" customFormat="false" ht="15" hidden="false" customHeight="false" outlineLevel="0" collapsed="false">
      <c r="A75" s="9"/>
      <c r="B75" s="9"/>
      <c r="C75" s="9"/>
      <c r="D75" s="9"/>
      <c r="E75" s="10" t="str">
        <f aca="false">IF(A75="","",IF(SUMPRODUCT(--EXACT($A$2:$A$201,A75))&gt;1,"Duplicate type",IF(AND(B75&lt;&gt;"Measurement",B75&lt;&gt;"State or alarm"),"Kind must be Measurement or State or alarm",IF(AND(B75="Measurement",C75=""),"A measurement type needs a unit",IF(AND(B75="State or alarm",C75&lt;&gt;""),"A state or alarm has no unit","ok")))))</f>
        <v/>
      </c>
    </row>
    <row r="76" customFormat="false" ht="15" hidden="false" customHeight="false" outlineLevel="0" collapsed="false">
      <c r="A76" s="9"/>
      <c r="B76" s="9"/>
      <c r="C76" s="9"/>
      <c r="D76" s="9"/>
      <c r="E76" s="10" t="str">
        <f aca="false">IF(A76="","",IF(SUMPRODUCT(--EXACT($A$2:$A$201,A76))&gt;1,"Duplicate type",IF(AND(B76&lt;&gt;"Measurement",B76&lt;&gt;"State or alarm"),"Kind must be Measurement or State or alarm",IF(AND(B76="Measurement",C76=""),"A measurement type needs a unit",IF(AND(B76="State or alarm",C76&lt;&gt;""),"A state or alarm has no unit","ok")))))</f>
        <v/>
      </c>
    </row>
    <row r="77" customFormat="false" ht="15" hidden="false" customHeight="false" outlineLevel="0" collapsed="false">
      <c r="A77" s="9"/>
      <c r="B77" s="9"/>
      <c r="C77" s="9"/>
      <c r="D77" s="9"/>
      <c r="E77" s="10" t="str">
        <f aca="false">IF(A77="","",IF(SUMPRODUCT(--EXACT($A$2:$A$201,A77))&gt;1,"Duplicate type",IF(AND(B77&lt;&gt;"Measurement",B77&lt;&gt;"State or alarm"),"Kind must be Measurement or State or alarm",IF(AND(B77="Measurement",C77=""),"A measurement type needs a unit",IF(AND(B77="State or alarm",C77&lt;&gt;""),"A state or alarm has no unit","ok")))))</f>
        <v/>
      </c>
    </row>
    <row r="78" customFormat="false" ht="15" hidden="false" customHeight="false" outlineLevel="0" collapsed="false">
      <c r="A78" s="9"/>
      <c r="B78" s="9"/>
      <c r="C78" s="9"/>
      <c r="D78" s="9"/>
      <c r="E78" s="10" t="str">
        <f aca="false">IF(A78="","",IF(SUMPRODUCT(--EXACT($A$2:$A$201,A78))&gt;1,"Duplicate type",IF(AND(B78&lt;&gt;"Measurement",B78&lt;&gt;"State or alarm"),"Kind must be Measurement or State or alarm",IF(AND(B78="Measurement",C78=""),"A measurement type needs a unit",IF(AND(B78="State or alarm",C78&lt;&gt;""),"A state or alarm has no unit","ok")))))</f>
        <v/>
      </c>
    </row>
    <row r="79" customFormat="false" ht="15" hidden="false" customHeight="false" outlineLevel="0" collapsed="false">
      <c r="A79" s="9"/>
      <c r="B79" s="9"/>
      <c r="C79" s="9"/>
      <c r="D79" s="9"/>
      <c r="E79" s="10" t="str">
        <f aca="false">IF(A79="","",IF(SUMPRODUCT(--EXACT($A$2:$A$201,A79))&gt;1,"Duplicate type",IF(AND(B79&lt;&gt;"Measurement",B79&lt;&gt;"State or alarm"),"Kind must be Measurement or State or alarm",IF(AND(B79="Measurement",C79=""),"A measurement type needs a unit",IF(AND(B79="State or alarm",C79&lt;&gt;""),"A state or alarm has no unit","ok")))))</f>
        <v/>
      </c>
    </row>
    <row r="80" customFormat="false" ht="15" hidden="false" customHeight="false" outlineLevel="0" collapsed="false">
      <c r="A80" s="9"/>
      <c r="B80" s="9"/>
      <c r="C80" s="9"/>
      <c r="D80" s="9"/>
      <c r="E80" s="10" t="str">
        <f aca="false">IF(A80="","",IF(SUMPRODUCT(--EXACT($A$2:$A$201,A80))&gt;1,"Duplicate type",IF(AND(B80&lt;&gt;"Measurement",B80&lt;&gt;"State or alarm"),"Kind must be Measurement or State or alarm",IF(AND(B80="Measurement",C80=""),"A measurement type needs a unit",IF(AND(B80="State or alarm",C80&lt;&gt;""),"A state or alarm has no unit","ok")))))</f>
        <v/>
      </c>
    </row>
    <row r="81" customFormat="false" ht="15" hidden="false" customHeight="false" outlineLevel="0" collapsed="false">
      <c r="A81" s="9"/>
      <c r="B81" s="9"/>
      <c r="C81" s="9"/>
      <c r="D81" s="9"/>
      <c r="E81" s="10" t="str">
        <f aca="false">IF(A81="","",IF(SUMPRODUCT(--EXACT($A$2:$A$201,A81))&gt;1,"Duplicate type",IF(AND(B81&lt;&gt;"Measurement",B81&lt;&gt;"State or alarm"),"Kind must be Measurement or State or alarm",IF(AND(B81="Measurement",C81=""),"A measurement type needs a unit",IF(AND(B81="State or alarm",C81&lt;&gt;""),"A state or alarm has no unit","ok")))))</f>
        <v/>
      </c>
    </row>
    <row r="82" customFormat="false" ht="15" hidden="false" customHeight="false" outlineLevel="0" collapsed="false">
      <c r="A82" s="9"/>
      <c r="B82" s="9"/>
      <c r="C82" s="9"/>
      <c r="D82" s="9"/>
      <c r="E82" s="10" t="str">
        <f aca="false">IF(A82="","",IF(SUMPRODUCT(--EXACT($A$2:$A$201,A82))&gt;1,"Duplicate type",IF(AND(B82&lt;&gt;"Measurement",B82&lt;&gt;"State or alarm"),"Kind must be Measurement or State or alarm",IF(AND(B82="Measurement",C82=""),"A measurement type needs a unit",IF(AND(B82="State or alarm",C82&lt;&gt;""),"A state or alarm has no unit","ok")))))</f>
        <v/>
      </c>
    </row>
    <row r="83" customFormat="false" ht="15" hidden="false" customHeight="false" outlineLevel="0" collapsed="false">
      <c r="A83" s="9"/>
      <c r="B83" s="9"/>
      <c r="C83" s="9"/>
      <c r="D83" s="9"/>
      <c r="E83" s="10" t="str">
        <f aca="false">IF(A83="","",IF(SUMPRODUCT(--EXACT($A$2:$A$201,A83))&gt;1,"Duplicate type",IF(AND(B83&lt;&gt;"Measurement",B83&lt;&gt;"State or alarm"),"Kind must be Measurement or State or alarm",IF(AND(B83="Measurement",C83=""),"A measurement type needs a unit",IF(AND(B83="State or alarm",C83&lt;&gt;""),"A state or alarm has no unit","ok")))))</f>
        <v/>
      </c>
    </row>
    <row r="84" customFormat="false" ht="15" hidden="false" customHeight="false" outlineLevel="0" collapsed="false">
      <c r="A84" s="9"/>
      <c r="B84" s="9"/>
      <c r="C84" s="9"/>
      <c r="D84" s="9"/>
      <c r="E84" s="10" t="str">
        <f aca="false">IF(A84="","",IF(SUMPRODUCT(--EXACT($A$2:$A$201,A84))&gt;1,"Duplicate type",IF(AND(B84&lt;&gt;"Measurement",B84&lt;&gt;"State or alarm"),"Kind must be Measurement or State or alarm",IF(AND(B84="Measurement",C84=""),"A measurement type needs a unit",IF(AND(B84="State or alarm",C84&lt;&gt;""),"A state or alarm has no unit","ok")))))</f>
        <v/>
      </c>
    </row>
    <row r="85" customFormat="false" ht="15" hidden="false" customHeight="false" outlineLevel="0" collapsed="false">
      <c r="A85" s="9"/>
      <c r="B85" s="9"/>
      <c r="C85" s="9"/>
      <c r="D85" s="9"/>
      <c r="E85" s="10" t="str">
        <f aca="false">IF(A85="","",IF(SUMPRODUCT(--EXACT($A$2:$A$201,A85))&gt;1,"Duplicate type",IF(AND(B85&lt;&gt;"Measurement",B85&lt;&gt;"State or alarm"),"Kind must be Measurement or State or alarm",IF(AND(B85="Measurement",C85=""),"A measurement type needs a unit",IF(AND(B85="State or alarm",C85&lt;&gt;""),"A state or alarm has no unit","ok")))))</f>
        <v/>
      </c>
    </row>
    <row r="86" customFormat="false" ht="15" hidden="false" customHeight="false" outlineLevel="0" collapsed="false">
      <c r="A86" s="9"/>
      <c r="B86" s="9"/>
      <c r="C86" s="9"/>
      <c r="D86" s="9"/>
      <c r="E86" s="10" t="str">
        <f aca="false">IF(A86="","",IF(SUMPRODUCT(--EXACT($A$2:$A$201,A86))&gt;1,"Duplicate type",IF(AND(B86&lt;&gt;"Measurement",B86&lt;&gt;"State or alarm"),"Kind must be Measurement or State or alarm",IF(AND(B86="Measurement",C86=""),"A measurement type needs a unit",IF(AND(B86="State or alarm",C86&lt;&gt;""),"A state or alarm has no unit","ok")))))</f>
        <v/>
      </c>
    </row>
    <row r="87" customFormat="false" ht="15" hidden="false" customHeight="false" outlineLevel="0" collapsed="false">
      <c r="A87" s="9"/>
      <c r="B87" s="9"/>
      <c r="C87" s="9"/>
      <c r="D87" s="9"/>
      <c r="E87" s="10" t="str">
        <f aca="false">IF(A87="","",IF(SUMPRODUCT(--EXACT($A$2:$A$201,A87))&gt;1,"Duplicate type",IF(AND(B87&lt;&gt;"Measurement",B87&lt;&gt;"State or alarm"),"Kind must be Measurement or State or alarm",IF(AND(B87="Measurement",C87=""),"A measurement type needs a unit",IF(AND(B87="State or alarm",C87&lt;&gt;""),"A state or alarm has no unit","ok")))))</f>
        <v/>
      </c>
    </row>
    <row r="88" customFormat="false" ht="15" hidden="false" customHeight="false" outlineLevel="0" collapsed="false">
      <c r="A88" s="9"/>
      <c r="B88" s="9"/>
      <c r="C88" s="9"/>
      <c r="D88" s="9"/>
      <c r="E88" s="10" t="str">
        <f aca="false">IF(A88="","",IF(SUMPRODUCT(--EXACT($A$2:$A$201,A88))&gt;1,"Duplicate type",IF(AND(B88&lt;&gt;"Measurement",B88&lt;&gt;"State or alarm"),"Kind must be Measurement or State or alarm",IF(AND(B88="Measurement",C88=""),"A measurement type needs a unit",IF(AND(B88="State or alarm",C88&lt;&gt;""),"A state or alarm has no unit","ok")))))</f>
        <v/>
      </c>
    </row>
    <row r="89" customFormat="false" ht="15" hidden="false" customHeight="false" outlineLevel="0" collapsed="false">
      <c r="A89" s="9"/>
      <c r="B89" s="9"/>
      <c r="C89" s="9"/>
      <c r="D89" s="9"/>
      <c r="E89" s="10" t="str">
        <f aca="false">IF(A89="","",IF(SUMPRODUCT(--EXACT($A$2:$A$201,A89))&gt;1,"Duplicate type",IF(AND(B89&lt;&gt;"Measurement",B89&lt;&gt;"State or alarm"),"Kind must be Measurement or State or alarm",IF(AND(B89="Measurement",C89=""),"A measurement type needs a unit",IF(AND(B89="State or alarm",C89&lt;&gt;""),"A state or alarm has no unit","ok")))))</f>
        <v/>
      </c>
    </row>
    <row r="90" customFormat="false" ht="15" hidden="false" customHeight="false" outlineLevel="0" collapsed="false">
      <c r="A90" s="9"/>
      <c r="B90" s="9"/>
      <c r="C90" s="9"/>
      <c r="D90" s="9"/>
      <c r="E90" s="10" t="str">
        <f aca="false">IF(A90="","",IF(SUMPRODUCT(--EXACT($A$2:$A$201,A90))&gt;1,"Duplicate type",IF(AND(B90&lt;&gt;"Measurement",B90&lt;&gt;"State or alarm"),"Kind must be Measurement or State or alarm",IF(AND(B90="Measurement",C90=""),"A measurement type needs a unit",IF(AND(B90="State or alarm",C90&lt;&gt;""),"A state or alarm has no unit","ok")))))</f>
        <v/>
      </c>
    </row>
    <row r="91" customFormat="false" ht="15" hidden="false" customHeight="false" outlineLevel="0" collapsed="false">
      <c r="A91" s="9"/>
      <c r="B91" s="9"/>
      <c r="C91" s="9"/>
      <c r="D91" s="9"/>
      <c r="E91" s="10" t="str">
        <f aca="false">IF(A91="","",IF(SUMPRODUCT(--EXACT($A$2:$A$201,A91))&gt;1,"Duplicate type",IF(AND(B91&lt;&gt;"Measurement",B91&lt;&gt;"State or alarm"),"Kind must be Measurement or State or alarm",IF(AND(B91="Measurement",C91=""),"A measurement type needs a unit",IF(AND(B91="State or alarm",C91&lt;&gt;""),"A state or alarm has no unit","ok")))))</f>
        <v/>
      </c>
    </row>
    <row r="92" customFormat="false" ht="15" hidden="false" customHeight="false" outlineLevel="0" collapsed="false">
      <c r="A92" s="9"/>
      <c r="B92" s="9"/>
      <c r="C92" s="9"/>
      <c r="D92" s="9"/>
      <c r="E92" s="10" t="str">
        <f aca="false">IF(A92="","",IF(SUMPRODUCT(--EXACT($A$2:$A$201,A92))&gt;1,"Duplicate type",IF(AND(B92&lt;&gt;"Measurement",B92&lt;&gt;"State or alarm"),"Kind must be Measurement or State or alarm",IF(AND(B92="Measurement",C92=""),"A measurement type needs a unit",IF(AND(B92="State or alarm",C92&lt;&gt;""),"A state or alarm has no unit","ok")))))</f>
        <v/>
      </c>
    </row>
    <row r="93" customFormat="false" ht="15" hidden="false" customHeight="false" outlineLevel="0" collapsed="false">
      <c r="A93" s="9"/>
      <c r="B93" s="9"/>
      <c r="C93" s="9"/>
      <c r="D93" s="9"/>
      <c r="E93" s="10" t="str">
        <f aca="false">IF(A93="","",IF(SUMPRODUCT(--EXACT($A$2:$A$201,A93))&gt;1,"Duplicate type",IF(AND(B93&lt;&gt;"Measurement",B93&lt;&gt;"State or alarm"),"Kind must be Measurement or State or alarm",IF(AND(B93="Measurement",C93=""),"A measurement type needs a unit",IF(AND(B93="State or alarm",C93&lt;&gt;""),"A state or alarm has no unit","ok")))))</f>
        <v/>
      </c>
    </row>
    <row r="94" customFormat="false" ht="15" hidden="false" customHeight="false" outlineLevel="0" collapsed="false">
      <c r="A94" s="9"/>
      <c r="B94" s="9"/>
      <c r="C94" s="9"/>
      <c r="D94" s="9"/>
      <c r="E94" s="10" t="str">
        <f aca="false">IF(A94="","",IF(SUMPRODUCT(--EXACT($A$2:$A$201,A94))&gt;1,"Duplicate type",IF(AND(B94&lt;&gt;"Measurement",B94&lt;&gt;"State or alarm"),"Kind must be Measurement or State or alarm",IF(AND(B94="Measurement",C94=""),"A measurement type needs a unit",IF(AND(B94="State or alarm",C94&lt;&gt;""),"A state or alarm has no unit","ok")))))</f>
        <v/>
      </c>
    </row>
    <row r="95" customFormat="false" ht="15" hidden="false" customHeight="false" outlineLevel="0" collapsed="false">
      <c r="A95" s="9"/>
      <c r="B95" s="9"/>
      <c r="C95" s="9"/>
      <c r="D95" s="9"/>
      <c r="E95" s="10" t="str">
        <f aca="false">IF(A95="","",IF(SUMPRODUCT(--EXACT($A$2:$A$201,A95))&gt;1,"Duplicate type",IF(AND(B95&lt;&gt;"Measurement",B95&lt;&gt;"State or alarm"),"Kind must be Measurement or State or alarm",IF(AND(B95="Measurement",C95=""),"A measurement type needs a unit",IF(AND(B95="State or alarm",C95&lt;&gt;""),"A state or alarm has no unit","ok")))))</f>
        <v/>
      </c>
    </row>
    <row r="96" customFormat="false" ht="15" hidden="false" customHeight="false" outlineLevel="0" collapsed="false">
      <c r="A96" s="9"/>
      <c r="B96" s="9"/>
      <c r="C96" s="9"/>
      <c r="D96" s="9"/>
      <c r="E96" s="10" t="str">
        <f aca="false">IF(A96="","",IF(SUMPRODUCT(--EXACT($A$2:$A$201,A96))&gt;1,"Duplicate type",IF(AND(B96&lt;&gt;"Measurement",B96&lt;&gt;"State or alarm"),"Kind must be Measurement or State or alarm",IF(AND(B96="Measurement",C96=""),"A measurement type needs a unit",IF(AND(B96="State or alarm",C96&lt;&gt;""),"A state or alarm has no unit","ok")))))</f>
        <v/>
      </c>
    </row>
    <row r="97" customFormat="false" ht="15" hidden="false" customHeight="false" outlineLevel="0" collapsed="false">
      <c r="A97" s="9"/>
      <c r="B97" s="9"/>
      <c r="C97" s="9"/>
      <c r="D97" s="9"/>
      <c r="E97" s="10" t="str">
        <f aca="false">IF(A97="","",IF(SUMPRODUCT(--EXACT($A$2:$A$201,A97))&gt;1,"Duplicate type",IF(AND(B97&lt;&gt;"Measurement",B97&lt;&gt;"State or alarm"),"Kind must be Measurement or State or alarm",IF(AND(B97="Measurement",C97=""),"A measurement type needs a unit",IF(AND(B97="State or alarm",C97&lt;&gt;""),"A state or alarm has no unit","ok")))))</f>
        <v/>
      </c>
    </row>
    <row r="98" customFormat="false" ht="15" hidden="false" customHeight="false" outlineLevel="0" collapsed="false">
      <c r="A98" s="9"/>
      <c r="B98" s="9"/>
      <c r="C98" s="9"/>
      <c r="D98" s="9"/>
      <c r="E98" s="10" t="str">
        <f aca="false">IF(A98="","",IF(SUMPRODUCT(--EXACT($A$2:$A$201,A98))&gt;1,"Duplicate type",IF(AND(B98&lt;&gt;"Measurement",B98&lt;&gt;"State or alarm"),"Kind must be Measurement or State or alarm",IF(AND(B98="Measurement",C98=""),"A measurement type needs a unit",IF(AND(B98="State or alarm",C98&lt;&gt;""),"A state or alarm has no unit","ok")))))</f>
        <v/>
      </c>
    </row>
    <row r="99" customFormat="false" ht="15" hidden="false" customHeight="false" outlineLevel="0" collapsed="false">
      <c r="A99" s="9"/>
      <c r="B99" s="9"/>
      <c r="C99" s="9"/>
      <c r="D99" s="9"/>
      <c r="E99" s="10" t="str">
        <f aca="false">IF(A99="","",IF(SUMPRODUCT(--EXACT($A$2:$A$201,A99))&gt;1,"Duplicate type",IF(AND(B99&lt;&gt;"Measurement",B99&lt;&gt;"State or alarm"),"Kind must be Measurement or State or alarm",IF(AND(B99="Measurement",C99=""),"A measurement type needs a unit",IF(AND(B99="State or alarm",C99&lt;&gt;""),"A state or alarm has no unit","ok")))))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10" t="str">
        <f aca="false">IF(A100="","",IF(SUMPRODUCT(--EXACT($A$2:$A$201,A100))&gt;1,"Duplicate type",IF(AND(B100&lt;&gt;"Measurement",B100&lt;&gt;"State or alarm"),"Kind must be Measurement or State or alarm",IF(AND(B100="Measurement",C100=""),"A measurement type needs a unit",IF(AND(B100="State or alarm",C100&lt;&gt;""),"A state or alarm has no unit","ok")))))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10" t="str">
        <f aca="false">IF(A101="","",IF(SUMPRODUCT(--EXACT($A$2:$A$201,A101))&gt;1,"Duplicate type",IF(AND(B101&lt;&gt;"Measurement",B101&lt;&gt;"State or alarm"),"Kind must be Measurement or State or alarm",IF(AND(B101="Measurement",C101=""),"A measurement type needs a unit",IF(AND(B101="State or alarm",C101&lt;&gt;""),"A state or alarm has no unit","ok")))))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10" t="str">
        <f aca="false">IF(A102="","",IF(SUMPRODUCT(--EXACT($A$2:$A$201,A102))&gt;1,"Duplicate type",IF(AND(B102&lt;&gt;"Measurement",B102&lt;&gt;"State or alarm"),"Kind must be Measurement or State or alarm",IF(AND(B102="Measurement",C102=""),"A measurement type needs a unit",IF(AND(B102="State or alarm",C102&lt;&gt;""),"A state or alarm has no unit","ok")))))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10" t="str">
        <f aca="false">IF(A103="","",IF(SUMPRODUCT(--EXACT($A$2:$A$201,A103))&gt;1,"Duplicate type",IF(AND(B103&lt;&gt;"Measurement",B103&lt;&gt;"State or alarm"),"Kind must be Measurement or State or alarm",IF(AND(B103="Measurement",C103=""),"A measurement type needs a unit",IF(AND(B103="State or alarm",C103&lt;&gt;""),"A state or alarm has no unit","ok")))))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10" t="str">
        <f aca="false">IF(A104="","",IF(SUMPRODUCT(--EXACT($A$2:$A$201,A104))&gt;1,"Duplicate type",IF(AND(B104&lt;&gt;"Measurement",B104&lt;&gt;"State or alarm"),"Kind must be Measurement or State or alarm",IF(AND(B104="Measurement",C104=""),"A measurement type needs a unit",IF(AND(B104="State or alarm",C104&lt;&gt;""),"A state or alarm has no unit","ok")))))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10" t="str">
        <f aca="false">IF(A105="","",IF(SUMPRODUCT(--EXACT($A$2:$A$201,A105))&gt;1,"Duplicate type",IF(AND(B105&lt;&gt;"Measurement",B105&lt;&gt;"State or alarm"),"Kind must be Measurement or State or alarm",IF(AND(B105="Measurement",C105=""),"A measurement type needs a unit",IF(AND(B105="State or alarm",C105&lt;&gt;""),"A state or alarm has no unit","ok")))))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10" t="str">
        <f aca="false">IF(A106="","",IF(SUMPRODUCT(--EXACT($A$2:$A$201,A106))&gt;1,"Duplicate type",IF(AND(B106&lt;&gt;"Measurement",B106&lt;&gt;"State or alarm"),"Kind must be Measurement or State or alarm",IF(AND(B106="Measurement",C106=""),"A measurement type needs a unit",IF(AND(B106="State or alarm",C106&lt;&gt;""),"A state or alarm has no unit","ok")))))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10" t="str">
        <f aca="false">IF(A107="","",IF(SUMPRODUCT(--EXACT($A$2:$A$201,A107))&gt;1,"Duplicate type",IF(AND(B107&lt;&gt;"Measurement",B107&lt;&gt;"State or alarm"),"Kind must be Measurement or State or alarm",IF(AND(B107="Measurement",C107=""),"A measurement type needs a unit",IF(AND(B107="State or alarm",C107&lt;&gt;""),"A state or alarm has no unit","ok")))))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10" t="str">
        <f aca="false">IF(A108="","",IF(SUMPRODUCT(--EXACT($A$2:$A$201,A108))&gt;1,"Duplicate type",IF(AND(B108&lt;&gt;"Measurement",B108&lt;&gt;"State or alarm"),"Kind must be Measurement or State or alarm",IF(AND(B108="Measurement",C108=""),"A measurement type needs a unit",IF(AND(B108="State or alarm",C108&lt;&gt;""),"A state or alarm has no unit","ok")))))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10" t="str">
        <f aca="false">IF(A109="","",IF(SUMPRODUCT(--EXACT($A$2:$A$201,A109))&gt;1,"Duplicate type",IF(AND(B109&lt;&gt;"Measurement",B109&lt;&gt;"State or alarm"),"Kind must be Measurement or State or alarm",IF(AND(B109="Measurement",C109=""),"A measurement type needs a unit",IF(AND(B109="State or alarm",C109&lt;&gt;""),"A state or alarm has no unit","ok")))))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10" t="str">
        <f aca="false">IF(A110="","",IF(SUMPRODUCT(--EXACT($A$2:$A$201,A110))&gt;1,"Duplicate type",IF(AND(B110&lt;&gt;"Measurement",B110&lt;&gt;"State or alarm"),"Kind must be Measurement or State or alarm",IF(AND(B110="Measurement",C110=""),"A measurement type needs a unit",IF(AND(B110="State or alarm",C110&lt;&gt;""),"A state or alarm has no unit","ok")))))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10" t="str">
        <f aca="false">IF(A111="","",IF(SUMPRODUCT(--EXACT($A$2:$A$201,A111))&gt;1,"Duplicate type",IF(AND(B111&lt;&gt;"Measurement",B111&lt;&gt;"State or alarm"),"Kind must be Measurement or State or alarm",IF(AND(B111="Measurement",C111=""),"A measurement type needs a unit",IF(AND(B111="State or alarm",C111&lt;&gt;""),"A state or alarm has no unit","ok")))))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10" t="str">
        <f aca="false">IF(A112="","",IF(SUMPRODUCT(--EXACT($A$2:$A$201,A112))&gt;1,"Duplicate type",IF(AND(B112&lt;&gt;"Measurement",B112&lt;&gt;"State or alarm"),"Kind must be Measurement or State or alarm",IF(AND(B112="Measurement",C112=""),"A measurement type needs a unit",IF(AND(B112="State or alarm",C112&lt;&gt;""),"A state or alarm has no unit","ok")))))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10" t="str">
        <f aca="false">IF(A113="","",IF(SUMPRODUCT(--EXACT($A$2:$A$201,A113))&gt;1,"Duplicate type",IF(AND(B113&lt;&gt;"Measurement",B113&lt;&gt;"State or alarm"),"Kind must be Measurement or State or alarm",IF(AND(B113="Measurement",C113=""),"A measurement type needs a unit",IF(AND(B113="State or alarm",C113&lt;&gt;""),"A state or alarm has no unit","ok")))))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10" t="str">
        <f aca="false">IF(A114="","",IF(SUMPRODUCT(--EXACT($A$2:$A$201,A114))&gt;1,"Duplicate type",IF(AND(B114&lt;&gt;"Measurement",B114&lt;&gt;"State or alarm"),"Kind must be Measurement or State or alarm",IF(AND(B114="Measurement",C114=""),"A measurement type needs a unit",IF(AND(B114="State or alarm",C114&lt;&gt;""),"A state or alarm has no unit","ok")))))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10" t="str">
        <f aca="false">IF(A115="","",IF(SUMPRODUCT(--EXACT($A$2:$A$201,A115))&gt;1,"Duplicate type",IF(AND(B115&lt;&gt;"Measurement",B115&lt;&gt;"State or alarm"),"Kind must be Measurement or State or alarm",IF(AND(B115="Measurement",C115=""),"A measurement type needs a unit",IF(AND(B115="State or alarm",C115&lt;&gt;""),"A state or alarm has no unit","ok")))))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10" t="str">
        <f aca="false">IF(A116="","",IF(SUMPRODUCT(--EXACT($A$2:$A$201,A116))&gt;1,"Duplicate type",IF(AND(B116&lt;&gt;"Measurement",B116&lt;&gt;"State or alarm"),"Kind must be Measurement or State or alarm",IF(AND(B116="Measurement",C116=""),"A measurement type needs a unit",IF(AND(B116="State or alarm",C116&lt;&gt;""),"A state or alarm has no unit","ok")))))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10" t="str">
        <f aca="false">IF(A117="","",IF(SUMPRODUCT(--EXACT($A$2:$A$201,A117))&gt;1,"Duplicate type",IF(AND(B117&lt;&gt;"Measurement",B117&lt;&gt;"State or alarm"),"Kind must be Measurement or State or alarm",IF(AND(B117="Measurement",C117=""),"A measurement type needs a unit",IF(AND(B117="State or alarm",C117&lt;&gt;""),"A state or alarm has no unit","ok")))))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10" t="str">
        <f aca="false">IF(A118="","",IF(SUMPRODUCT(--EXACT($A$2:$A$201,A118))&gt;1,"Duplicate type",IF(AND(B118&lt;&gt;"Measurement",B118&lt;&gt;"State or alarm"),"Kind must be Measurement or State or alarm",IF(AND(B118="Measurement",C118=""),"A measurement type needs a unit",IF(AND(B118="State or alarm",C118&lt;&gt;""),"A state or alarm has no unit","ok")))))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10" t="str">
        <f aca="false">IF(A119="","",IF(SUMPRODUCT(--EXACT($A$2:$A$201,A119))&gt;1,"Duplicate type",IF(AND(B119&lt;&gt;"Measurement",B119&lt;&gt;"State or alarm"),"Kind must be Measurement or State or alarm",IF(AND(B119="Measurement",C119=""),"A measurement type needs a unit",IF(AND(B119="State or alarm",C119&lt;&gt;""),"A state or alarm has no unit","ok")))))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10" t="str">
        <f aca="false">IF(A120="","",IF(SUMPRODUCT(--EXACT($A$2:$A$201,A120))&gt;1,"Duplicate type",IF(AND(B120&lt;&gt;"Measurement",B120&lt;&gt;"State or alarm"),"Kind must be Measurement or State or alarm",IF(AND(B120="Measurement",C120=""),"A measurement type needs a unit",IF(AND(B120="State or alarm",C120&lt;&gt;""),"A state or alarm has no unit","ok")))))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10" t="str">
        <f aca="false">IF(A121="","",IF(SUMPRODUCT(--EXACT($A$2:$A$201,A121))&gt;1,"Duplicate type",IF(AND(B121&lt;&gt;"Measurement",B121&lt;&gt;"State or alarm"),"Kind must be Measurement or State or alarm",IF(AND(B121="Measurement",C121=""),"A measurement type needs a unit",IF(AND(B121="State or alarm",C121&lt;&gt;""),"A state or alarm has no unit","ok")))))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10" t="str">
        <f aca="false">IF(A122="","",IF(SUMPRODUCT(--EXACT($A$2:$A$201,A122))&gt;1,"Duplicate type",IF(AND(B122&lt;&gt;"Measurement",B122&lt;&gt;"State or alarm"),"Kind must be Measurement or State or alarm",IF(AND(B122="Measurement",C122=""),"A measurement type needs a unit",IF(AND(B122="State or alarm",C122&lt;&gt;""),"A state or alarm has no unit","ok")))))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10" t="str">
        <f aca="false">IF(A123="","",IF(SUMPRODUCT(--EXACT($A$2:$A$201,A123))&gt;1,"Duplicate type",IF(AND(B123&lt;&gt;"Measurement",B123&lt;&gt;"State or alarm"),"Kind must be Measurement or State or alarm",IF(AND(B123="Measurement",C123=""),"A measurement type needs a unit",IF(AND(B123="State or alarm",C123&lt;&gt;""),"A state or alarm has no unit","ok")))))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10" t="str">
        <f aca="false">IF(A124="","",IF(SUMPRODUCT(--EXACT($A$2:$A$201,A124))&gt;1,"Duplicate type",IF(AND(B124&lt;&gt;"Measurement",B124&lt;&gt;"State or alarm"),"Kind must be Measurement or State or alarm",IF(AND(B124="Measurement",C124=""),"A measurement type needs a unit",IF(AND(B124="State or alarm",C124&lt;&gt;""),"A state or alarm has no unit","ok")))))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10" t="str">
        <f aca="false">IF(A125="","",IF(SUMPRODUCT(--EXACT($A$2:$A$201,A125))&gt;1,"Duplicate type",IF(AND(B125&lt;&gt;"Measurement",B125&lt;&gt;"State or alarm"),"Kind must be Measurement or State or alarm",IF(AND(B125="Measurement",C125=""),"A measurement type needs a unit",IF(AND(B125="State or alarm",C125&lt;&gt;""),"A state or alarm has no unit","ok")))))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10" t="str">
        <f aca="false">IF(A126="","",IF(SUMPRODUCT(--EXACT($A$2:$A$201,A126))&gt;1,"Duplicate type",IF(AND(B126&lt;&gt;"Measurement",B126&lt;&gt;"State or alarm"),"Kind must be Measurement or State or alarm",IF(AND(B126="Measurement",C126=""),"A measurement type needs a unit",IF(AND(B126="State or alarm",C126&lt;&gt;""),"A state or alarm has no unit","ok")))))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10" t="str">
        <f aca="false">IF(A127="","",IF(SUMPRODUCT(--EXACT($A$2:$A$201,A127))&gt;1,"Duplicate type",IF(AND(B127&lt;&gt;"Measurement",B127&lt;&gt;"State or alarm"),"Kind must be Measurement or State or alarm",IF(AND(B127="Measurement",C127=""),"A measurement type needs a unit",IF(AND(B127="State or alarm",C127&lt;&gt;""),"A state or alarm has no unit","ok")))))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10" t="str">
        <f aca="false">IF(A128="","",IF(SUMPRODUCT(--EXACT($A$2:$A$201,A128))&gt;1,"Duplicate type",IF(AND(B128&lt;&gt;"Measurement",B128&lt;&gt;"State or alarm"),"Kind must be Measurement or State or alarm",IF(AND(B128="Measurement",C128=""),"A measurement type needs a unit",IF(AND(B128="State or alarm",C128&lt;&gt;""),"A state or alarm has no unit","ok")))))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10" t="str">
        <f aca="false">IF(A129="","",IF(SUMPRODUCT(--EXACT($A$2:$A$201,A129))&gt;1,"Duplicate type",IF(AND(B129&lt;&gt;"Measurement",B129&lt;&gt;"State or alarm"),"Kind must be Measurement or State or alarm",IF(AND(B129="Measurement",C129=""),"A measurement type needs a unit",IF(AND(B129="State or alarm",C129&lt;&gt;""),"A state or alarm has no unit","ok")))))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10" t="str">
        <f aca="false">IF(A130="","",IF(SUMPRODUCT(--EXACT($A$2:$A$201,A130))&gt;1,"Duplicate type",IF(AND(B130&lt;&gt;"Measurement",B130&lt;&gt;"State or alarm"),"Kind must be Measurement or State or alarm",IF(AND(B130="Measurement",C130=""),"A measurement type needs a unit",IF(AND(B130="State or alarm",C130&lt;&gt;""),"A state or alarm has no unit","ok")))))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10" t="str">
        <f aca="false">IF(A131="","",IF(SUMPRODUCT(--EXACT($A$2:$A$201,A131))&gt;1,"Duplicate type",IF(AND(B131&lt;&gt;"Measurement",B131&lt;&gt;"State or alarm"),"Kind must be Measurement or State or alarm",IF(AND(B131="Measurement",C131=""),"A measurement type needs a unit",IF(AND(B131="State or alarm",C131&lt;&gt;""),"A state or alarm has no unit","ok")))))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10" t="str">
        <f aca="false">IF(A132="","",IF(SUMPRODUCT(--EXACT($A$2:$A$201,A132))&gt;1,"Duplicate type",IF(AND(B132&lt;&gt;"Measurement",B132&lt;&gt;"State or alarm"),"Kind must be Measurement or State or alarm",IF(AND(B132="Measurement",C132=""),"A measurement type needs a unit",IF(AND(B132="State or alarm",C132&lt;&gt;""),"A state or alarm has no unit","ok")))))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10" t="str">
        <f aca="false">IF(A133="","",IF(SUMPRODUCT(--EXACT($A$2:$A$201,A133))&gt;1,"Duplicate type",IF(AND(B133&lt;&gt;"Measurement",B133&lt;&gt;"State or alarm"),"Kind must be Measurement or State or alarm",IF(AND(B133="Measurement",C133=""),"A measurement type needs a unit",IF(AND(B133="State or alarm",C133&lt;&gt;""),"A state or alarm has no unit","ok")))))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10" t="str">
        <f aca="false">IF(A134="","",IF(SUMPRODUCT(--EXACT($A$2:$A$201,A134))&gt;1,"Duplicate type",IF(AND(B134&lt;&gt;"Measurement",B134&lt;&gt;"State or alarm"),"Kind must be Measurement or State or alarm",IF(AND(B134="Measurement",C134=""),"A measurement type needs a unit",IF(AND(B134="State or alarm",C134&lt;&gt;""),"A state or alarm has no unit","ok")))))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10" t="str">
        <f aca="false">IF(A135="","",IF(SUMPRODUCT(--EXACT($A$2:$A$201,A135))&gt;1,"Duplicate type",IF(AND(B135&lt;&gt;"Measurement",B135&lt;&gt;"State or alarm"),"Kind must be Measurement or State or alarm",IF(AND(B135="Measurement",C135=""),"A measurement type needs a unit",IF(AND(B135="State or alarm",C135&lt;&gt;""),"A state or alarm has no unit","ok")))))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10" t="str">
        <f aca="false">IF(A136="","",IF(SUMPRODUCT(--EXACT($A$2:$A$201,A136))&gt;1,"Duplicate type",IF(AND(B136&lt;&gt;"Measurement",B136&lt;&gt;"State or alarm"),"Kind must be Measurement or State or alarm",IF(AND(B136="Measurement",C136=""),"A measurement type needs a unit",IF(AND(B136="State or alarm",C136&lt;&gt;""),"A state or alarm has no unit","ok")))))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10" t="str">
        <f aca="false">IF(A137="","",IF(SUMPRODUCT(--EXACT($A$2:$A$201,A137))&gt;1,"Duplicate type",IF(AND(B137&lt;&gt;"Measurement",B137&lt;&gt;"State or alarm"),"Kind must be Measurement or State or alarm",IF(AND(B137="Measurement",C137=""),"A measurement type needs a unit",IF(AND(B137="State or alarm",C137&lt;&gt;""),"A state or alarm has no unit","ok")))))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10" t="str">
        <f aca="false">IF(A138="","",IF(SUMPRODUCT(--EXACT($A$2:$A$201,A138))&gt;1,"Duplicate type",IF(AND(B138&lt;&gt;"Measurement",B138&lt;&gt;"State or alarm"),"Kind must be Measurement or State or alarm",IF(AND(B138="Measurement",C138=""),"A measurement type needs a unit",IF(AND(B138="State or alarm",C138&lt;&gt;""),"A state or alarm has no unit","ok")))))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10" t="str">
        <f aca="false">IF(A139="","",IF(SUMPRODUCT(--EXACT($A$2:$A$201,A139))&gt;1,"Duplicate type",IF(AND(B139&lt;&gt;"Measurement",B139&lt;&gt;"State or alarm"),"Kind must be Measurement or State or alarm",IF(AND(B139="Measurement",C139=""),"A measurement type needs a unit",IF(AND(B139="State or alarm",C139&lt;&gt;""),"A state or alarm has no unit","ok")))))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10" t="str">
        <f aca="false">IF(A140="","",IF(SUMPRODUCT(--EXACT($A$2:$A$201,A140))&gt;1,"Duplicate type",IF(AND(B140&lt;&gt;"Measurement",B140&lt;&gt;"State or alarm"),"Kind must be Measurement or State or alarm",IF(AND(B140="Measurement",C140=""),"A measurement type needs a unit",IF(AND(B140="State or alarm",C140&lt;&gt;""),"A state or alarm has no unit","ok")))))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10" t="str">
        <f aca="false">IF(A141="","",IF(SUMPRODUCT(--EXACT($A$2:$A$201,A141))&gt;1,"Duplicate type",IF(AND(B141&lt;&gt;"Measurement",B141&lt;&gt;"State or alarm"),"Kind must be Measurement or State or alarm",IF(AND(B141="Measurement",C141=""),"A measurement type needs a unit",IF(AND(B141="State or alarm",C141&lt;&gt;""),"A state or alarm has no unit","ok")))))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10" t="str">
        <f aca="false">IF(A142="","",IF(SUMPRODUCT(--EXACT($A$2:$A$201,A142))&gt;1,"Duplicate type",IF(AND(B142&lt;&gt;"Measurement",B142&lt;&gt;"State or alarm"),"Kind must be Measurement or State or alarm",IF(AND(B142="Measurement",C142=""),"A measurement type needs a unit",IF(AND(B142="State or alarm",C142&lt;&gt;""),"A state or alarm has no unit","ok")))))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10" t="str">
        <f aca="false">IF(A143="","",IF(SUMPRODUCT(--EXACT($A$2:$A$201,A143))&gt;1,"Duplicate type",IF(AND(B143&lt;&gt;"Measurement",B143&lt;&gt;"State or alarm"),"Kind must be Measurement or State or alarm",IF(AND(B143="Measurement",C143=""),"A measurement type needs a unit",IF(AND(B143="State or alarm",C143&lt;&gt;""),"A state or alarm has no unit","ok")))))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10" t="str">
        <f aca="false">IF(A144="","",IF(SUMPRODUCT(--EXACT($A$2:$A$201,A144))&gt;1,"Duplicate type",IF(AND(B144&lt;&gt;"Measurement",B144&lt;&gt;"State or alarm"),"Kind must be Measurement or State or alarm",IF(AND(B144="Measurement",C144=""),"A measurement type needs a unit",IF(AND(B144="State or alarm",C144&lt;&gt;""),"A state or alarm has no unit","ok")))))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10" t="str">
        <f aca="false">IF(A145="","",IF(SUMPRODUCT(--EXACT($A$2:$A$201,A145))&gt;1,"Duplicate type",IF(AND(B145&lt;&gt;"Measurement",B145&lt;&gt;"State or alarm"),"Kind must be Measurement or State or alarm",IF(AND(B145="Measurement",C145=""),"A measurement type needs a unit",IF(AND(B145="State or alarm",C145&lt;&gt;""),"A state or alarm has no unit","ok")))))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10" t="str">
        <f aca="false">IF(A146="","",IF(SUMPRODUCT(--EXACT($A$2:$A$201,A146))&gt;1,"Duplicate type",IF(AND(B146&lt;&gt;"Measurement",B146&lt;&gt;"State or alarm"),"Kind must be Measurement or State or alarm",IF(AND(B146="Measurement",C146=""),"A measurement type needs a unit",IF(AND(B146="State or alarm",C146&lt;&gt;""),"A state or alarm has no unit","ok")))))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10" t="str">
        <f aca="false">IF(A147="","",IF(SUMPRODUCT(--EXACT($A$2:$A$201,A147))&gt;1,"Duplicate type",IF(AND(B147&lt;&gt;"Measurement",B147&lt;&gt;"State or alarm"),"Kind must be Measurement or State or alarm",IF(AND(B147="Measurement",C147=""),"A measurement type needs a unit",IF(AND(B147="State or alarm",C147&lt;&gt;""),"A state or alarm has no unit","ok")))))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10" t="str">
        <f aca="false">IF(A148="","",IF(SUMPRODUCT(--EXACT($A$2:$A$201,A148))&gt;1,"Duplicate type",IF(AND(B148&lt;&gt;"Measurement",B148&lt;&gt;"State or alarm"),"Kind must be Measurement or State or alarm",IF(AND(B148="Measurement",C148=""),"A measurement type needs a unit",IF(AND(B148="State or alarm",C148&lt;&gt;""),"A state or alarm has no unit","ok")))))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10" t="str">
        <f aca="false">IF(A149="","",IF(SUMPRODUCT(--EXACT($A$2:$A$201,A149))&gt;1,"Duplicate type",IF(AND(B149&lt;&gt;"Measurement",B149&lt;&gt;"State or alarm"),"Kind must be Measurement or State or alarm",IF(AND(B149="Measurement",C149=""),"A measurement type needs a unit",IF(AND(B149="State or alarm",C149&lt;&gt;""),"A state or alarm has no unit","ok")))))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10" t="str">
        <f aca="false">IF(A150="","",IF(SUMPRODUCT(--EXACT($A$2:$A$201,A150))&gt;1,"Duplicate type",IF(AND(B150&lt;&gt;"Measurement",B150&lt;&gt;"State or alarm"),"Kind must be Measurement or State or alarm",IF(AND(B150="Measurement",C150=""),"A measurement type needs a unit",IF(AND(B150="State or alarm",C150&lt;&gt;""),"A state or alarm has no unit","ok")))))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10" t="str">
        <f aca="false">IF(A151="","",IF(SUMPRODUCT(--EXACT($A$2:$A$201,A151))&gt;1,"Duplicate type",IF(AND(B151&lt;&gt;"Measurement",B151&lt;&gt;"State or alarm"),"Kind must be Measurement or State or alarm",IF(AND(B151="Measurement",C151=""),"A measurement type needs a unit",IF(AND(B151="State or alarm",C151&lt;&gt;""),"A state or alarm has no unit","ok")))))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10" t="str">
        <f aca="false">IF(A152="","",IF(SUMPRODUCT(--EXACT($A$2:$A$201,A152))&gt;1,"Duplicate type",IF(AND(B152&lt;&gt;"Measurement",B152&lt;&gt;"State or alarm"),"Kind must be Measurement or State or alarm",IF(AND(B152="Measurement",C152=""),"A measurement type needs a unit",IF(AND(B152="State or alarm",C152&lt;&gt;""),"A state or alarm has no unit","ok")))))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10" t="str">
        <f aca="false">IF(A153="","",IF(SUMPRODUCT(--EXACT($A$2:$A$201,A153))&gt;1,"Duplicate type",IF(AND(B153&lt;&gt;"Measurement",B153&lt;&gt;"State or alarm"),"Kind must be Measurement or State or alarm",IF(AND(B153="Measurement",C153=""),"A measurement type needs a unit",IF(AND(B153="State or alarm",C153&lt;&gt;""),"A state or alarm has no unit","ok")))))</f>
        <v/>
      </c>
    </row>
    <row r="154" customFormat="false" ht="15" hidden="false" customHeight="false" outlineLevel="0" collapsed="false">
      <c r="A154" s="9"/>
      <c r="B154" s="9"/>
      <c r="C154" s="9"/>
      <c r="D154" s="9"/>
      <c r="E154" s="10" t="str">
        <f aca="false">IF(A154="","",IF(SUMPRODUCT(--EXACT($A$2:$A$201,A154))&gt;1,"Duplicate type",IF(AND(B154&lt;&gt;"Measurement",B154&lt;&gt;"State or alarm"),"Kind must be Measurement or State or alarm",IF(AND(B154="Measurement",C154=""),"A measurement type needs a unit",IF(AND(B154="State or alarm",C154&lt;&gt;""),"A state or alarm has no unit","ok")))))</f>
        <v/>
      </c>
    </row>
    <row r="155" customFormat="false" ht="15" hidden="false" customHeight="false" outlineLevel="0" collapsed="false">
      <c r="A155" s="9"/>
      <c r="B155" s="9"/>
      <c r="C155" s="9"/>
      <c r="D155" s="9"/>
      <c r="E155" s="10" t="str">
        <f aca="false">IF(A155="","",IF(SUMPRODUCT(--EXACT($A$2:$A$201,A155))&gt;1,"Duplicate type",IF(AND(B155&lt;&gt;"Measurement",B155&lt;&gt;"State or alarm"),"Kind must be Measurement or State or alarm",IF(AND(B155="Measurement",C155=""),"A measurement type needs a unit",IF(AND(B155="State or alarm",C155&lt;&gt;""),"A state or alarm has no unit","ok")))))</f>
        <v/>
      </c>
    </row>
    <row r="156" customFormat="false" ht="15" hidden="false" customHeight="false" outlineLevel="0" collapsed="false">
      <c r="A156" s="9"/>
      <c r="B156" s="9"/>
      <c r="C156" s="9"/>
      <c r="D156" s="9"/>
      <c r="E156" s="10" t="str">
        <f aca="false">IF(A156="","",IF(SUMPRODUCT(--EXACT($A$2:$A$201,A156))&gt;1,"Duplicate type",IF(AND(B156&lt;&gt;"Measurement",B156&lt;&gt;"State or alarm"),"Kind must be Measurement or State or alarm",IF(AND(B156="Measurement",C156=""),"A measurement type needs a unit",IF(AND(B156="State or alarm",C156&lt;&gt;""),"A state or alarm has no unit","ok")))))</f>
        <v/>
      </c>
    </row>
    <row r="157" customFormat="false" ht="15" hidden="false" customHeight="false" outlineLevel="0" collapsed="false">
      <c r="A157" s="9"/>
      <c r="B157" s="9"/>
      <c r="C157" s="9"/>
      <c r="D157" s="9"/>
      <c r="E157" s="10" t="str">
        <f aca="false">IF(A157="","",IF(SUMPRODUCT(--EXACT($A$2:$A$201,A157))&gt;1,"Duplicate type",IF(AND(B157&lt;&gt;"Measurement",B157&lt;&gt;"State or alarm"),"Kind must be Measurement or State or alarm",IF(AND(B157="Measurement",C157=""),"A measurement type needs a unit",IF(AND(B157="State or alarm",C157&lt;&gt;""),"A state or alarm has no unit","ok")))))</f>
        <v/>
      </c>
    </row>
    <row r="158" customFormat="false" ht="15" hidden="false" customHeight="false" outlineLevel="0" collapsed="false">
      <c r="A158" s="9"/>
      <c r="B158" s="9"/>
      <c r="C158" s="9"/>
      <c r="D158" s="9"/>
      <c r="E158" s="10" t="str">
        <f aca="false">IF(A158="","",IF(SUMPRODUCT(--EXACT($A$2:$A$201,A158))&gt;1,"Duplicate type",IF(AND(B158&lt;&gt;"Measurement",B158&lt;&gt;"State or alarm"),"Kind must be Measurement or State or alarm",IF(AND(B158="Measurement",C158=""),"A measurement type needs a unit",IF(AND(B158="State or alarm",C158&lt;&gt;""),"A state or alarm has no unit","ok")))))</f>
        <v/>
      </c>
    </row>
    <row r="159" customFormat="false" ht="15" hidden="false" customHeight="false" outlineLevel="0" collapsed="false">
      <c r="A159" s="9"/>
      <c r="B159" s="9"/>
      <c r="C159" s="9"/>
      <c r="D159" s="9"/>
      <c r="E159" s="10" t="str">
        <f aca="false">IF(A159="","",IF(SUMPRODUCT(--EXACT($A$2:$A$201,A159))&gt;1,"Duplicate type",IF(AND(B159&lt;&gt;"Measurement",B159&lt;&gt;"State or alarm"),"Kind must be Measurement or State or alarm",IF(AND(B159="Measurement",C159=""),"A measurement type needs a unit",IF(AND(B159="State or alarm",C159&lt;&gt;""),"A state or alarm has no unit","ok")))))</f>
        <v/>
      </c>
    </row>
    <row r="160" customFormat="false" ht="15" hidden="false" customHeight="false" outlineLevel="0" collapsed="false">
      <c r="A160" s="9"/>
      <c r="B160" s="9"/>
      <c r="C160" s="9"/>
      <c r="D160" s="9"/>
      <c r="E160" s="10" t="str">
        <f aca="false">IF(A160="","",IF(SUMPRODUCT(--EXACT($A$2:$A$201,A160))&gt;1,"Duplicate type",IF(AND(B160&lt;&gt;"Measurement",B160&lt;&gt;"State or alarm"),"Kind must be Measurement or State or alarm",IF(AND(B160="Measurement",C160=""),"A measurement type needs a unit",IF(AND(B160="State or alarm",C160&lt;&gt;""),"A state or alarm has no unit","ok")))))</f>
        <v/>
      </c>
    </row>
    <row r="161" customFormat="false" ht="15" hidden="false" customHeight="false" outlineLevel="0" collapsed="false">
      <c r="A161" s="9"/>
      <c r="B161" s="9"/>
      <c r="C161" s="9"/>
      <c r="D161" s="9"/>
      <c r="E161" s="10" t="str">
        <f aca="false">IF(A161="","",IF(SUMPRODUCT(--EXACT($A$2:$A$201,A161))&gt;1,"Duplicate type",IF(AND(B161&lt;&gt;"Measurement",B161&lt;&gt;"State or alarm"),"Kind must be Measurement or State or alarm",IF(AND(B161="Measurement",C161=""),"A measurement type needs a unit",IF(AND(B161="State or alarm",C161&lt;&gt;""),"A state or alarm has no unit","ok")))))</f>
        <v/>
      </c>
    </row>
    <row r="162" customFormat="false" ht="15" hidden="false" customHeight="false" outlineLevel="0" collapsed="false">
      <c r="A162" s="9"/>
      <c r="B162" s="9"/>
      <c r="C162" s="9"/>
      <c r="D162" s="9"/>
      <c r="E162" s="10" t="str">
        <f aca="false">IF(A162="","",IF(SUMPRODUCT(--EXACT($A$2:$A$201,A162))&gt;1,"Duplicate type",IF(AND(B162&lt;&gt;"Measurement",B162&lt;&gt;"State or alarm"),"Kind must be Measurement or State or alarm",IF(AND(B162="Measurement",C162=""),"A measurement type needs a unit",IF(AND(B162="State or alarm",C162&lt;&gt;""),"A state or alarm has no unit","ok")))))</f>
        <v/>
      </c>
    </row>
    <row r="163" customFormat="false" ht="15" hidden="false" customHeight="false" outlineLevel="0" collapsed="false">
      <c r="A163" s="9"/>
      <c r="B163" s="9"/>
      <c r="C163" s="9"/>
      <c r="D163" s="9"/>
      <c r="E163" s="10" t="str">
        <f aca="false">IF(A163="","",IF(SUMPRODUCT(--EXACT($A$2:$A$201,A163))&gt;1,"Duplicate type",IF(AND(B163&lt;&gt;"Measurement",B163&lt;&gt;"State or alarm"),"Kind must be Measurement or State or alarm",IF(AND(B163="Measurement",C163=""),"A measurement type needs a unit",IF(AND(B163="State or alarm",C163&lt;&gt;""),"A state or alarm has no unit","ok")))))</f>
        <v/>
      </c>
    </row>
    <row r="164" customFormat="false" ht="15" hidden="false" customHeight="false" outlineLevel="0" collapsed="false">
      <c r="A164" s="9"/>
      <c r="B164" s="9"/>
      <c r="C164" s="9"/>
      <c r="D164" s="9"/>
      <c r="E164" s="10" t="str">
        <f aca="false">IF(A164="","",IF(SUMPRODUCT(--EXACT($A$2:$A$201,A164))&gt;1,"Duplicate type",IF(AND(B164&lt;&gt;"Measurement",B164&lt;&gt;"State or alarm"),"Kind must be Measurement or State or alarm",IF(AND(B164="Measurement",C164=""),"A measurement type needs a unit",IF(AND(B164="State or alarm",C164&lt;&gt;""),"A state or alarm has no unit","ok")))))</f>
        <v/>
      </c>
    </row>
    <row r="165" customFormat="false" ht="15" hidden="false" customHeight="false" outlineLevel="0" collapsed="false">
      <c r="A165" s="9"/>
      <c r="B165" s="9"/>
      <c r="C165" s="9"/>
      <c r="D165" s="9"/>
      <c r="E165" s="10" t="str">
        <f aca="false">IF(A165="","",IF(SUMPRODUCT(--EXACT($A$2:$A$201,A165))&gt;1,"Duplicate type",IF(AND(B165&lt;&gt;"Measurement",B165&lt;&gt;"State or alarm"),"Kind must be Measurement or State or alarm",IF(AND(B165="Measurement",C165=""),"A measurement type needs a unit",IF(AND(B165="State or alarm",C165&lt;&gt;""),"A state or alarm has no unit","ok")))))</f>
        <v/>
      </c>
    </row>
    <row r="166" customFormat="false" ht="15" hidden="false" customHeight="false" outlineLevel="0" collapsed="false">
      <c r="A166" s="9"/>
      <c r="B166" s="9"/>
      <c r="C166" s="9"/>
      <c r="D166" s="9"/>
      <c r="E166" s="10" t="str">
        <f aca="false">IF(A166="","",IF(SUMPRODUCT(--EXACT($A$2:$A$201,A166))&gt;1,"Duplicate type",IF(AND(B166&lt;&gt;"Measurement",B166&lt;&gt;"State or alarm"),"Kind must be Measurement or State or alarm",IF(AND(B166="Measurement",C166=""),"A measurement type needs a unit",IF(AND(B166="State or alarm",C166&lt;&gt;""),"A state or alarm has no unit","ok")))))</f>
        <v/>
      </c>
    </row>
    <row r="167" customFormat="false" ht="15" hidden="false" customHeight="false" outlineLevel="0" collapsed="false">
      <c r="A167" s="9"/>
      <c r="B167" s="9"/>
      <c r="C167" s="9"/>
      <c r="D167" s="9"/>
      <c r="E167" s="10" t="str">
        <f aca="false">IF(A167="","",IF(SUMPRODUCT(--EXACT($A$2:$A$201,A167))&gt;1,"Duplicate type",IF(AND(B167&lt;&gt;"Measurement",B167&lt;&gt;"State or alarm"),"Kind must be Measurement or State or alarm",IF(AND(B167="Measurement",C167=""),"A measurement type needs a unit",IF(AND(B167="State or alarm",C167&lt;&gt;""),"A state or alarm has no unit","ok")))))</f>
        <v/>
      </c>
    </row>
    <row r="168" customFormat="false" ht="15" hidden="false" customHeight="false" outlineLevel="0" collapsed="false">
      <c r="A168" s="9"/>
      <c r="B168" s="9"/>
      <c r="C168" s="9"/>
      <c r="D168" s="9"/>
      <c r="E168" s="10" t="str">
        <f aca="false">IF(A168="","",IF(SUMPRODUCT(--EXACT($A$2:$A$201,A168))&gt;1,"Duplicate type",IF(AND(B168&lt;&gt;"Measurement",B168&lt;&gt;"State or alarm"),"Kind must be Measurement or State or alarm",IF(AND(B168="Measurement",C168=""),"A measurement type needs a unit",IF(AND(B168="State or alarm",C168&lt;&gt;""),"A state or alarm has no unit","ok")))))</f>
        <v/>
      </c>
    </row>
    <row r="169" customFormat="false" ht="15" hidden="false" customHeight="false" outlineLevel="0" collapsed="false">
      <c r="A169" s="9"/>
      <c r="B169" s="9"/>
      <c r="C169" s="9"/>
      <c r="D169" s="9"/>
      <c r="E169" s="10" t="str">
        <f aca="false">IF(A169="","",IF(SUMPRODUCT(--EXACT($A$2:$A$201,A169))&gt;1,"Duplicate type",IF(AND(B169&lt;&gt;"Measurement",B169&lt;&gt;"State or alarm"),"Kind must be Measurement or State or alarm",IF(AND(B169="Measurement",C169=""),"A measurement type needs a unit",IF(AND(B169="State or alarm",C169&lt;&gt;""),"A state or alarm has no unit","ok")))))</f>
        <v/>
      </c>
    </row>
    <row r="170" customFormat="false" ht="15" hidden="false" customHeight="false" outlineLevel="0" collapsed="false">
      <c r="A170" s="9"/>
      <c r="B170" s="9"/>
      <c r="C170" s="9"/>
      <c r="D170" s="9"/>
      <c r="E170" s="10" t="str">
        <f aca="false">IF(A170="","",IF(SUMPRODUCT(--EXACT($A$2:$A$201,A170))&gt;1,"Duplicate type",IF(AND(B170&lt;&gt;"Measurement",B170&lt;&gt;"State or alarm"),"Kind must be Measurement or State or alarm",IF(AND(B170="Measurement",C170=""),"A measurement type needs a unit",IF(AND(B170="State or alarm",C170&lt;&gt;""),"A state or alarm has no unit","ok")))))</f>
        <v/>
      </c>
    </row>
    <row r="171" customFormat="false" ht="15" hidden="false" customHeight="false" outlineLevel="0" collapsed="false">
      <c r="A171" s="9"/>
      <c r="B171" s="9"/>
      <c r="C171" s="9"/>
      <c r="D171" s="9"/>
      <c r="E171" s="10" t="str">
        <f aca="false">IF(A171="","",IF(SUMPRODUCT(--EXACT($A$2:$A$201,A171))&gt;1,"Duplicate type",IF(AND(B171&lt;&gt;"Measurement",B171&lt;&gt;"State or alarm"),"Kind must be Measurement or State or alarm",IF(AND(B171="Measurement",C171=""),"A measurement type needs a unit",IF(AND(B171="State or alarm",C171&lt;&gt;""),"A state or alarm has no unit","ok")))))</f>
        <v/>
      </c>
    </row>
    <row r="172" customFormat="false" ht="15" hidden="false" customHeight="false" outlineLevel="0" collapsed="false">
      <c r="A172" s="9"/>
      <c r="B172" s="9"/>
      <c r="C172" s="9"/>
      <c r="D172" s="9"/>
      <c r="E172" s="10" t="str">
        <f aca="false">IF(A172="","",IF(SUMPRODUCT(--EXACT($A$2:$A$201,A172))&gt;1,"Duplicate type",IF(AND(B172&lt;&gt;"Measurement",B172&lt;&gt;"State or alarm"),"Kind must be Measurement or State or alarm",IF(AND(B172="Measurement",C172=""),"A measurement type needs a unit",IF(AND(B172="State or alarm",C172&lt;&gt;""),"A state or alarm has no unit","ok")))))</f>
        <v/>
      </c>
    </row>
    <row r="173" customFormat="false" ht="15" hidden="false" customHeight="false" outlineLevel="0" collapsed="false">
      <c r="A173" s="9"/>
      <c r="B173" s="9"/>
      <c r="C173" s="9"/>
      <c r="D173" s="9"/>
      <c r="E173" s="10" t="str">
        <f aca="false">IF(A173="","",IF(SUMPRODUCT(--EXACT($A$2:$A$201,A173))&gt;1,"Duplicate type",IF(AND(B173&lt;&gt;"Measurement",B173&lt;&gt;"State or alarm"),"Kind must be Measurement or State or alarm",IF(AND(B173="Measurement",C173=""),"A measurement type needs a unit",IF(AND(B173="State or alarm",C173&lt;&gt;""),"A state or alarm has no unit","ok")))))</f>
        <v/>
      </c>
    </row>
    <row r="174" customFormat="false" ht="15" hidden="false" customHeight="false" outlineLevel="0" collapsed="false">
      <c r="A174" s="9"/>
      <c r="B174" s="9"/>
      <c r="C174" s="9"/>
      <c r="D174" s="9"/>
      <c r="E174" s="10" t="str">
        <f aca="false">IF(A174="","",IF(SUMPRODUCT(--EXACT($A$2:$A$201,A174))&gt;1,"Duplicate type",IF(AND(B174&lt;&gt;"Measurement",B174&lt;&gt;"State or alarm"),"Kind must be Measurement or State or alarm",IF(AND(B174="Measurement",C174=""),"A measurement type needs a unit",IF(AND(B174="State or alarm",C174&lt;&gt;""),"A state or alarm has no unit","ok")))))</f>
        <v/>
      </c>
    </row>
    <row r="175" customFormat="false" ht="15" hidden="false" customHeight="false" outlineLevel="0" collapsed="false">
      <c r="A175" s="9"/>
      <c r="B175" s="9"/>
      <c r="C175" s="9"/>
      <c r="D175" s="9"/>
      <c r="E175" s="10" t="str">
        <f aca="false">IF(A175="","",IF(SUMPRODUCT(--EXACT($A$2:$A$201,A175))&gt;1,"Duplicate type",IF(AND(B175&lt;&gt;"Measurement",B175&lt;&gt;"State or alarm"),"Kind must be Measurement or State or alarm",IF(AND(B175="Measurement",C175=""),"A measurement type needs a unit",IF(AND(B175="State or alarm",C175&lt;&gt;""),"A state or alarm has no unit","ok")))))</f>
        <v/>
      </c>
    </row>
    <row r="176" customFormat="false" ht="15" hidden="false" customHeight="false" outlineLevel="0" collapsed="false">
      <c r="A176" s="9"/>
      <c r="B176" s="9"/>
      <c r="C176" s="9"/>
      <c r="D176" s="9"/>
      <c r="E176" s="10" t="str">
        <f aca="false">IF(A176="","",IF(SUMPRODUCT(--EXACT($A$2:$A$201,A176))&gt;1,"Duplicate type",IF(AND(B176&lt;&gt;"Measurement",B176&lt;&gt;"State or alarm"),"Kind must be Measurement or State or alarm",IF(AND(B176="Measurement",C176=""),"A measurement type needs a unit",IF(AND(B176="State or alarm",C176&lt;&gt;""),"A state or alarm has no unit","ok")))))</f>
        <v/>
      </c>
    </row>
    <row r="177" customFormat="false" ht="15" hidden="false" customHeight="false" outlineLevel="0" collapsed="false">
      <c r="A177" s="9"/>
      <c r="B177" s="9"/>
      <c r="C177" s="9"/>
      <c r="D177" s="9"/>
      <c r="E177" s="10" t="str">
        <f aca="false">IF(A177="","",IF(SUMPRODUCT(--EXACT($A$2:$A$201,A177))&gt;1,"Duplicate type",IF(AND(B177&lt;&gt;"Measurement",B177&lt;&gt;"State or alarm"),"Kind must be Measurement or State or alarm",IF(AND(B177="Measurement",C177=""),"A measurement type needs a unit",IF(AND(B177="State or alarm",C177&lt;&gt;""),"A state or alarm has no unit","ok")))))</f>
        <v/>
      </c>
    </row>
    <row r="178" customFormat="false" ht="15" hidden="false" customHeight="false" outlineLevel="0" collapsed="false">
      <c r="A178" s="9"/>
      <c r="B178" s="9"/>
      <c r="C178" s="9"/>
      <c r="D178" s="9"/>
      <c r="E178" s="10" t="str">
        <f aca="false">IF(A178="","",IF(SUMPRODUCT(--EXACT($A$2:$A$201,A178))&gt;1,"Duplicate type",IF(AND(B178&lt;&gt;"Measurement",B178&lt;&gt;"State or alarm"),"Kind must be Measurement or State or alarm",IF(AND(B178="Measurement",C178=""),"A measurement type needs a unit",IF(AND(B178="State or alarm",C178&lt;&gt;""),"A state or alarm has no unit","ok")))))</f>
        <v/>
      </c>
    </row>
    <row r="179" customFormat="false" ht="15" hidden="false" customHeight="false" outlineLevel="0" collapsed="false">
      <c r="A179" s="9"/>
      <c r="B179" s="9"/>
      <c r="C179" s="9"/>
      <c r="D179" s="9"/>
      <c r="E179" s="10" t="str">
        <f aca="false">IF(A179="","",IF(SUMPRODUCT(--EXACT($A$2:$A$201,A179))&gt;1,"Duplicate type",IF(AND(B179&lt;&gt;"Measurement",B179&lt;&gt;"State or alarm"),"Kind must be Measurement or State or alarm",IF(AND(B179="Measurement",C179=""),"A measurement type needs a unit",IF(AND(B179="State or alarm",C179&lt;&gt;""),"A state or alarm has no unit","ok")))))</f>
        <v/>
      </c>
    </row>
    <row r="180" customFormat="false" ht="15" hidden="false" customHeight="false" outlineLevel="0" collapsed="false">
      <c r="A180" s="9"/>
      <c r="B180" s="9"/>
      <c r="C180" s="9"/>
      <c r="D180" s="9"/>
      <c r="E180" s="10" t="str">
        <f aca="false">IF(A180="","",IF(SUMPRODUCT(--EXACT($A$2:$A$201,A180))&gt;1,"Duplicate type",IF(AND(B180&lt;&gt;"Measurement",B180&lt;&gt;"State or alarm"),"Kind must be Measurement or State or alarm",IF(AND(B180="Measurement",C180=""),"A measurement type needs a unit",IF(AND(B180="State or alarm",C180&lt;&gt;""),"A state or alarm has no unit","ok")))))</f>
        <v/>
      </c>
    </row>
    <row r="181" customFormat="false" ht="15" hidden="false" customHeight="false" outlineLevel="0" collapsed="false">
      <c r="A181" s="9"/>
      <c r="B181" s="9"/>
      <c r="C181" s="9"/>
      <c r="D181" s="9"/>
      <c r="E181" s="10" t="str">
        <f aca="false">IF(A181="","",IF(SUMPRODUCT(--EXACT($A$2:$A$201,A181))&gt;1,"Duplicate type",IF(AND(B181&lt;&gt;"Measurement",B181&lt;&gt;"State or alarm"),"Kind must be Measurement or State or alarm",IF(AND(B181="Measurement",C181=""),"A measurement type needs a unit",IF(AND(B181="State or alarm",C181&lt;&gt;""),"A state or alarm has no unit","ok")))))</f>
        <v/>
      </c>
    </row>
    <row r="182" customFormat="false" ht="15" hidden="false" customHeight="false" outlineLevel="0" collapsed="false">
      <c r="A182" s="9"/>
      <c r="B182" s="9"/>
      <c r="C182" s="9"/>
      <c r="D182" s="9"/>
      <c r="E182" s="10" t="str">
        <f aca="false">IF(A182="","",IF(SUMPRODUCT(--EXACT($A$2:$A$201,A182))&gt;1,"Duplicate type",IF(AND(B182&lt;&gt;"Measurement",B182&lt;&gt;"State or alarm"),"Kind must be Measurement or State or alarm",IF(AND(B182="Measurement",C182=""),"A measurement type needs a unit",IF(AND(B182="State or alarm",C182&lt;&gt;""),"A state or alarm has no unit","ok")))))</f>
        <v/>
      </c>
    </row>
    <row r="183" customFormat="false" ht="15" hidden="false" customHeight="false" outlineLevel="0" collapsed="false">
      <c r="A183" s="9"/>
      <c r="B183" s="9"/>
      <c r="C183" s="9"/>
      <c r="D183" s="9"/>
      <c r="E183" s="10" t="str">
        <f aca="false">IF(A183="","",IF(SUMPRODUCT(--EXACT($A$2:$A$201,A183))&gt;1,"Duplicate type",IF(AND(B183&lt;&gt;"Measurement",B183&lt;&gt;"State or alarm"),"Kind must be Measurement or State or alarm",IF(AND(B183="Measurement",C183=""),"A measurement type needs a unit",IF(AND(B183="State or alarm",C183&lt;&gt;""),"A state or alarm has no unit","ok")))))</f>
        <v/>
      </c>
    </row>
    <row r="184" customFormat="false" ht="15" hidden="false" customHeight="false" outlineLevel="0" collapsed="false">
      <c r="A184" s="9"/>
      <c r="B184" s="9"/>
      <c r="C184" s="9"/>
      <c r="D184" s="9"/>
      <c r="E184" s="10" t="str">
        <f aca="false">IF(A184="","",IF(SUMPRODUCT(--EXACT($A$2:$A$201,A184))&gt;1,"Duplicate type",IF(AND(B184&lt;&gt;"Measurement",B184&lt;&gt;"State or alarm"),"Kind must be Measurement or State or alarm",IF(AND(B184="Measurement",C184=""),"A measurement type needs a unit",IF(AND(B184="State or alarm",C184&lt;&gt;""),"A state or alarm has no unit","ok")))))</f>
        <v/>
      </c>
    </row>
    <row r="185" customFormat="false" ht="15" hidden="false" customHeight="false" outlineLevel="0" collapsed="false">
      <c r="A185" s="9"/>
      <c r="B185" s="9"/>
      <c r="C185" s="9"/>
      <c r="D185" s="9"/>
      <c r="E185" s="10" t="str">
        <f aca="false">IF(A185="","",IF(SUMPRODUCT(--EXACT($A$2:$A$201,A185))&gt;1,"Duplicate type",IF(AND(B185&lt;&gt;"Measurement",B185&lt;&gt;"State or alarm"),"Kind must be Measurement or State or alarm",IF(AND(B185="Measurement",C185=""),"A measurement type needs a unit",IF(AND(B185="State or alarm",C185&lt;&gt;""),"A state or alarm has no unit","ok")))))</f>
        <v/>
      </c>
    </row>
    <row r="186" customFormat="false" ht="15" hidden="false" customHeight="false" outlineLevel="0" collapsed="false">
      <c r="A186" s="9"/>
      <c r="B186" s="9"/>
      <c r="C186" s="9"/>
      <c r="D186" s="9"/>
      <c r="E186" s="10" t="str">
        <f aca="false">IF(A186="","",IF(SUMPRODUCT(--EXACT($A$2:$A$201,A186))&gt;1,"Duplicate type",IF(AND(B186&lt;&gt;"Measurement",B186&lt;&gt;"State or alarm"),"Kind must be Measurement or State or alarm",IF(AND(B186="Measurement",C186=""),"A measurement type needs a unit",IF(AND(B186="State or alarm",C186&lt;&gt;""),"A state or alarm has no unit","ok")))))</f>
        <v/>
      </c>
    </row>
    <row r="187" customFormat="false" ht="15" hidden="false" customHeight="false" outlineLevel="0" collapsed="false">
      <c r="A187" s="9"/>
      <c r="B187" s="9"/>
      <c r="C187" s="9"/>
      <c r="D187" s="9"/>
      <c r="E187" s="10" t="str">
        <f aca="false">IF(A187="","",IF(SUMPRODUCT(--EXACT($A$2:$A$201,A187))&gt;1,"Duplicate type",IF(AND(B187&lt;&gt;"Measurement",B187&lt;&gt;"State or alarm"),"Kind must be Measurement or State or alarm",IF(AND(B187="Measurement",C187=""),"A measurement type needs a unit",IF(AND(B187="State or alarm",C187&lt;&gt;""),"A state or alarm has no unit","ok")))))</f>
        <v/>
      </c>
    </row>
    <row r="188" customFormat="false" ht="15" hidden="false" customHeight="false" outlineLevel="0" collapsed="false">
      <c r="A188" s="9"/>
      <c r="B188" s="9"/>
      <c r="C188" s="9"/>
      <c r="D188" s="9"/>
      <c r="E188" s="10" t="str">
        <f aca="false">IF(A188="","",IF(SUMPRODUCT(--EXACT($A$2:$A$201,A188))&gt;1,"Duplicate type",IF(AND(B188&lt;&gt;"Measurement",B188&lt;&gt;"State or alarm"),"Kind must be Measurement or State or alarm",IF(AND(B188="Measurement",C188=""),"A measurement type needs a unit",IF(AND(B188="State or alarm",C188&lt;&gt;""),"A state or alarm has no unit","ok")))))</f>
        <v/>
      </c>
    </row>
    <row r="189" customFormat="false" ht="15" hidden="false" customHeight="false" outlineLevel="0" collapsed="false">
      <c r="A189" s="9"/>
      <c r="B189" s="9"/>
      <c r="C189" s="9"/>
      <c r="D189" s="9"/>
      <c r="E189" s="10" t="str">
        <f aca="false">IF(A189="","",IF(SUMPRODUCT(--EXACT($A$2:$A$201,A189))&gt;1,"Duplicate type",IF(AND(B189&lt;&gt;"Measurement",B189&lt;&gt;"State or alarm"),"Kind must be Measurement or State or alarm",IF(AND(B189="Measurement",C189=""),"A measurement type needs a unit",IF(AND(B189="State or alarm",C189&lt;&gt;""),"A state or alarm has no unit","ok")))))</f>
        <v/>
      </c>
    </row>
    <row r="190" customFormat="false" ht="15" hidden="false" customHeight="false" outlineLevel="0" collapsed="false">
      <c r="A190" s="9"/>
      <c r="B190" s="9"/>
      <c r="C190" s="9"/>
      <c r="D190" s="9"/>
      <c r="E190" s="10" t="str">
        <f aca="false">IF(A190="","",IF(SUMPRODUCT(--EXACT($A$2:$A$201,A190))&gt;1,"Duplicate type",IF(AND(B190&lt;&gt;"Measurement",B190&lt;&gt;"State or alarm"),"Kind must be Measurement or State or alarm",IF(AND(B190="Measurement",C190=""),"A measurement type needs a unit",IF(AND(B190="State or alarm",C190&lt;&gt;""),"A state or alarm has no unit","ok")))))</f>
        <v/>
      </c>
    </row>
    <row r="191" customFormat="false" ht="15" hidden="false" customHeight="false" outlineLevel="0" collapsed="false">
      <c r="A191" s="9"/>
      <c r="B191" s="9"/>
      <c r="C191" s="9"/>
      <c r="D191" s="9"/>
      <c r="E191" s="10" t="str">
        <f aca="false">IF(A191="","",IF(SUMPRODUCT(--EXACT($A$2:$A$201,A191))&gt;1,"Duplicate type",IF(AND(B191&lt;&gt;"Measurement",B191&lt;&gt;"State or alarm"),"Kind must be Measurement or State or alarm",IF(AND(B191="Measurement",C191=""),"A measurement type needs a unit",IF(AND(B191="State or alarm",C191&lt;&gt;""),"A state or alarm has no unit","ok")))))</f>
        <v/>
      </c>
    </row>
    <row r="192" customFormat="false" ht="15" hidden="false" customHeight="false" outlineLevel="0" collapsed="false">
      <c r="A192" s="9"/>
      <c r="B192" s="9"/>
      <c r="C192" s="9"/>
      <c r="D192" s="9"/>
      <c r="E192" s="10" t="str">
        <f aca="false">IF(A192="","",IF(SUMPRODUCT(--EXACT($A$2:$A$201,A192))&gt;1,"Duplicate type",IF(AND(B192&lt;&gt;"Measurement",B192&lt;&gt;"State or alarm"),"Kind must be Measurement or State or alarm",IF(AND(B192="Measurement",C192=""),"A measurement type needs a unit",IF(AND(B192="State or alarm",C192&lt;&gt;""),"A state or alarm has no unit","ok")))))</f>
        <v/>
      </c>
    </row>
    <row r="193" customFormat="false" ht="15" hidden="false" customHeight="false" outlineLevel="0" collapsed="false">
      <c r="A193" s="9"/>
      <c r="B193" s="9"/>
      <c r="C193" s="9"/>
      <c r="D193" s="9"/>
      <c r="E193" s="10" t="str">
        <f aca="false">IF(A193="","",IF(SUMPRODUCT(--EXACT($A$2:$A$201,A193))&gt;1,"Duplicate type",IF(AND(B193&lt;&gt;"Measurement",B193&lt;&gt;"State or alarm"),"Kind must be Measurement or State or alarm",IF(AND(B193="Measurement",C193=""),"A measurement type needs a unit",IF(AND(B193="State or alarm",C193&lt;&gt;""),"A state or alarm has no unit","ok")))))</f>
        <v/>
      </c>
    </row>
    <row r="194" customFormat="false" ht="15" hidden="false" customHeight="false" outlineLevel="0" collapsed="false">
      <c r="A194" s="9"/>
      <c r="B194" s="9"/>
      <c r="C194" s="9"/>
      <c r="D194" s="9"/>
      <c r="E194" s="10" t="str">
        <f aca="false">IF(A194="","",IF(SUMPRODUCT(--EXACT($A$2:$A$201,A194))&gt;1,"Duplicate type",IF(AND(B194&lt;&gt;"Measurement",B194&lt;&gt;"State or alarm"),"Kind must be Measurement or State or alarm",IF(AND(B194="Measurement",C194=""),"A measurement type needs a unit",IF(AND(B194="State or alarm",C194&lt;&gt;""),"A state or alarm has no unit","ok")))))</f>
        <v/>
      </c>
    </row>
    <row r="195" customFormat="false" ht="15" hidden="false" customHeight="false" outlineLevel="0" collapsed="false">
      <c r="A195" s="9"/>
      <c r="B195" s="9"/>
      <c r="C195" s="9"/>
      <c r="D195" s="9"/>
      <c r="E195" s="10" t="str">
        <f aca="false">IF(A195="","",IF(SUMPRODUCT(--EXACT($A$2:$A$201,A195))&gt;1,"Duplicate type",IF(AND(B195&lt;&gt;"Measurement",B195&lt;&gt;"State or alarm"),"Kind must be Measurement or State or alarm",IF(AND(B195="Measurement",C195=""),"A measurement type needs a unit",IF(AND(B195="State or alarm",C195&lt;&gt;""),"A state or alarm has no unit","ok")))))</f>
        <v/>
      </c>
    </row>
    <row r="196" customFormat="false" ht="15" hidden="false" customHeight="false" outlineLevel="0" collapsed="false">
      <c r="A196" s="9"/>
      <c r="B196" s="9"/>
      <c r="C196" s="9"/>
      <c r="D196" s="9"/>
      <c r="E196" s="10" t="str">
        <f aca="false">IF(A196="","",IF(SUMPRODUCT(--EXACT($A$2:$A$201,A196))&gt;1,"Duplicate type",IF(AND(B196&lt;&gt;"Measurement",B196&lt;&gt;"State or alarm"),"Kind must be Measurement or State or alarm",IF(AND(B196="Measurement",C196=""),"A measurement type needs a unit",IF(AND(B196="State or alarm",C196&lt;&gt;""),"A state or alarm has no unit","ok")))))</f>
        <v/>
      </c>
    </row>
    <row r="197" customFormat="false" ht="15" hidden="false" customHeight="false" outlineLevel="0" collapsed="false">
      <c r="A197" s="9"/>
      <c r="B197" s="9"/>
      <c r="C197" s="9"/>
      <c r="D197" s="9"/>
      <c r="E197" s="10" t="str">
        <f aca="false">IF(A197="","",IF(SUMPRODUCT(--EXACT($A$2:$A$201,A197))&gt;1,"Duplicate type",IF(AND(B197&lt;&gt;"Measurement",B197&lt;&gt;"State or alarm"),"Kind must be Measurement or State or alarm",IF(AND(B197="Measurement",C197=""),"A measurement type needs a unit",IF(AND(B197="State or alarm",C197&lt;&gt;""),"A state or alarm has no unit","ok")))))</f>
        <v/>
      </c>
    </row>
    <row r="198" customFormat="false" ht="15" hidden="false" customHeight="false" outlineLevel="0" collapsed="false">
      <c r="A198" s="9"/>
      <c r="B198" s="9"/>
      <c r="C198" s="9"/>
      <c r="D198" s="9"/>
      <c r="E198" s="10" t="str">
        <f aca="false">IF(A198="","",IF(SUMPRODUCT(--EXACT($A$2:$A$201,A198))&gt;1,"Duplicate type",IF(AND(B198&lt;&gt;"Measurement",B198&lt;&gt;"State or alarm"),"Kind must be Measurement or State or alarm",IF(AND(B198="Measurement",C198=""),"A measurement type needs a unit",IF(AND(B198="State or alarm",C198&lt;&gt;""),"A state or alarm has no unit","ok")))))</f>
        <v/>
      </c>
    </row>
    <row r="199" customFormat="false" ht="15" hidden="false" customHeight="false" outlineLevel="0" collapsed="false">
      <c r="A199" s="9"/>
      <c r="B199" s="9"/>
      <c r="C199" s="9"/>
      <c r="D199" s="9"/>
      <c r="E199" s="10" t="str">
        <f aca="false">IF(A199="","",IF(SUMPRODUCT(--EXACT($A$2:$A$201,A199))&gt;1,"Duplicate type",IF(AND(B199&lt;&gt;"Measurement",B199&lt;&gt;"State or alarm"),"Kind must be Measurement or State or alarm",IF(AND(B199="Measurement",C199=""),"A measurement type needs a unit",IF(AND(B199="State or alarm",C199&lt;&gt;""),"A state or alarm has no unit","ok")))))</f>
        <v/>
      </c>
    </row>
    <row r="200" customFormat="false" ht="15" hidden="false" customHeight="false" outlineLevel="0" collapsed="false">
      <c r="A200" s="9"/>
      <c r="B200" s="9"/>
      <c r="C200" s="9"/>
      <c r="D200" s="9"/>
      <c r="E200" s="10" t="str">
        <f aca="false">IF(A200="","",IF(SUMPRODUCT(--EXACT($A$2:$A$201,A200))&gt;1,"Duplicate type",IF(AND(B200&lt;&gt;"Measurement",B200&lt;&gt;"State or alarm"),"Kind must be Measurement or State or alarm",IF(AND(B200="Measurement",C200=""),"A measurement type needs a unit",IF(AND(B200="State or alarm",C200&lt;&gt;""),"A state or alarm has no unit","ok")))))</f>
        <v/>
      </c>
    </row>
    <row r="201" customFormat="false" ht="15" hidden="false" customHeight="false" outlineLevel="0" collapsed="false">
      <c r="A201" s="9"/>
      <c r="B201" s="9"/>
      <c r="C201" s="9"/>
      <c r="D201" s="9"/>
      <c r="E201" s="10" t="str">
        <f aca="false">IF(A201="","",IF(SUMPRODUCT(--EXACT($A$2:$A$201,A201))&gt;1,"Duplicate type",IF(AND(B201&lt;&gt;"Measurement",B201&lt;&gt;"State or alarm"),"Kind must be Measurement or State or alarm",IF(AND(B201="Measurement",C201=""),"A measurement type needs a unit",IF(AND(B201="State or alarm",C201&lt;&gt;""),"A state or alarm has no unit","ok")))))</f>
        <v/>
      </c>
    </row>
  </sheetData>
  <dataValidations count="1">
    <dataValidation allowBlank="true" error="This value is not on the list. The check column will flag it." errorStyle="warning" errorTitle="Not on the list" operator="between" prompt="Measurement (a number with a unit) or State or alarm." showDropDown="false" showErrorMessage="true" showInputMessage="true" sqref="B2:B201" type="list">
      <formula1>"Measurement,State or alarm"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70"/>
    <col collapsed="false" customWidth="true" hidden="false" outlineLevel="0" max="4" min="4" style="0" width="34"/>
  </cols>
  <sheetData>
    <row r="1" customFormat="false" ht="31.5" hidden="false" customHeight="true" outlineLevel="0" collapsed="false">
      <c r="A1" s="8" t="s">
        <v>128</v>
      </c>
      <c r="B1" s="8" t="s">
        <v>129</v>
      </c>
      <c r="C1" s="8" t="s">
        <v>45</v>
      </c>
      <c r="D1" s="8" t="s">
        <v>49</v>
      </c>
    </row>
    <row r="2" customFormat="false" ht="15" hidden="false" customHeight="false" outlineLevel="0" collapsed="false">
      <c r="A2" s="9" t="s">
        <v>130</v>
      </c>
      <c r="B2" s="9" t="s">
        <v>131</v>
      </c>
      <c r="C2" s="9" t="s">
        <v>132</v>
      </c>
      <c r="D2" s="10" t="str">
        <f aca="false">IF(A2="","",IF(B2="","Give the reverse a name",IF(SUMPRODUCT(--EXACT($A$2:$A$201,A2))&gt;1,"Duplicate","ok")))</f>
        <v>ok</v>
      </c>
    </row>
    <row r="3" customFormat="false" ht="15" hidden="false" customHeight="false" outlineLevel="0" collapsed="false">
      <c r="A3" s="9" t="s">
        <v>133</v>
      </c>
      <c r="B3" s="9" t="s">
        <v>134</v>
      </c>
      <c r="C3" s="9" t="s">
        <v>135</v>
      </c>
      <c r="D3" s="10" t="str">
        <f aca="false">IF(A3="","",IF(B3="","Give the reverse a name",IF(SUMPRODUCT(--EXACT($A$2:$A$201,A3))&gt;1,"Duplicate","ok")))</f>
        <v>ok</v>
      </c>
    </row>
    <row r="4" customFormat="false" ht="15" hidden="false" customHeight="false" outlineLevel="0" collapsed="false">
      <c r="A4" s="9" t="s">
        <v>136</v>
      </c>
      <c r="B4" s="9" t="s">
        <v>137</v>
      </c>
      <c r="C4" s="9" t="s">
        <v>138</v>
      </c>
      <c r="D4" s="10" t="str">
        <f aca="false">IF(A4="","",IF(B4="","Give the reverse a name",IF(SUMPRODUCT(--EXACT($A$2:$A$201,A4))&gt;1,"Duplicate","ok")))</f>
        <v>ok</v>
      </c>
    </row>
    <row r="5" customFormat="false" ht="15" hidden="false" customHeight="false" outlineLevel="0" collapsed="false">
      <c r="A5" s="9" t="s">
        <v>139</v>
      </c>
      <c r="B5" s="9" t="s">
        <v>140</v>
      </c>
      <c r="C5" s="9" t="s">
        <v>141</v>
      </c>
      <c r="D5" s="10" t="str">
        <f aca="false">IF(A5="","",IF(B5="","Give the reverse a name",IF(SUMPRODUCT(--EXACT($A$2:$A$201,A5))&gt;1,"Duplicate","ok")))</f>
        <v>ok</v>
      </c>
    </row>
    <row r="6" customFormat="false" ht="15" hidden="false" customHeight="false" outlineLevel="0" collapsed="false">
      <c r="A6" s="9"/>
      <c r="B6" s="9"/>
      <c r="C6" s="9"/>
      <c r="D6" s="10" t="str">
        <f aca="false">IF(A6="","",IF(B6="","Give the reverse a name",IF(SUMPRODUCT(--EXACT($A$2:$A$201,A6))&gt;1,"Duplicate","ok")))</f>
        <v/>
      </c>
    </row>
    <row r="7" customFormat="false" ht="15" hidden="false" customHeight="false" outlineLevel="0" collapsed="false">
      <c r="A7" s="9"/>
      <c r="B7" s="9"/>
      <c r="C7" s="9"/>
      <c r="D7" s="10" t="str">
        <f aca="false">IF(A7="","",IF(B7="","Give the reverse a name",IF(SUMPRODUCT(--EXACT($A$2:$A$201,A7))&gt;1,"Duplicate","ok")))</f>
        <v/>
      </c>
    </row>
    <row r="8" customFormat="false" ht="15" hidden="false" customHeight="false" outlineLevel="0" collapsed="false">
      <c r="A8" s="9"/>
      <c r="B8" s="9"/>
      <c r="C8" s="9"/>
      <c r="D8" s="10" t="str">
        <f aca="false">IF(A8="","",IF(B8="","Give the reverse a name",IF(SUMPRODUCT(--EXACT($A$2:$A$201,A8))&gt;1,"Duplicate","ok")))</f>
        <v/>
      </c>
    </row>
    <row r="9" customFormat="false" ht="15" hidden="false" customHeight="false" outlineLevel="0" collapsed="false">
      <c r="A9" s="9"/>
      <c r="B9" s="9"/>
      <c r="C9" s="9"/>
      <c r="D9" s="10" t="str">
        <f aca="false">IF(A9="","",IF(B9="","Give the reverse a name",IF(SUMPRODUCT(--EXACT($A$2:$A$201,A9))&gt;1,"Duplicate","ok")))</f>
        <v/>
      </c>
    </row>
    <row r="10" customFormat="false" ht="15" hidden="false" customHeight="false" outlineLevel="0" collapsed="false">
      <c r="A10" s="9"/>
      <c r="B10" s="9"/>
      <c r="C10" s="9"/>
      <c r="D10" s="10" t="str">
        <f aca="false">IF(A10="","",IF(B10="","Give the reverse a name",IF(SUMPRODUCT(--EXACT($A$2:$A$201,A10))&gt;1,"Duplicate","ok")))</f>
        <v/>
      </c>
    </row>
    <row r="11" customFormat="false" ht="15" hidden="false" customHeight="false" outlineLevel="0" collapsed="false">
      <c r="A11" s="9"/>
      <c r="B11" s="9"/>
      <c r="C11" s="9"/>
      <c r="D11" s="10" t="str">
        <f aca="false">IF(A11="","",IF(B11="","Give the reverse a name",IF(SUMPRODUCT(--EXACT($A$2:$A$201,A11))&gt;1,"Duplicate","ok")))</f>
        <v/>
      </c>
    </row>
    <row r="12" customFormat="false" ht="15" hidden="false" customHeight="false" outlineLevel="0" collapsed="false">
      <c r="A12" s="9"/>
      <c r="B12" s="9"/>
      <c r="C12" s="9"/>
      <c r="D12" s="10" t="str">
        <f aca="false">IF(A12="","",IF(B12="","Give the reverse a name",IF(SUMPRODUCT(--EXACT($A$2:$A$201,A12))&gt;1,"Duplicate","ok")))</f>
        <v/>
      </c>
    </row>
    <row r="13" customFormat="false" ht="15" hidden="false" customHeight="false" outlineLevel="0" collapsed="false">
      <c r="A13" s="9"/>
      <c r="B13" s="9"/>
      <c r="C13" s="9"/>
      <c r="D13" s="10" t="str">
        <f aca="false">IF(A13="","",IF(B13="","Give the reverse a name",IF(SUMPRODUCT(--EXACT($A$2:$A$201,A13))&gt;1,"Duplicate","ok")))</f>
        <v/>
      </c>
    </row>
    <row r="14" customFormat="false" ht="15" hidden="false" customHeight="false" outlineLevel="0" collapsed="false">
      <c r="A14" s="9"/>
      <c r="B14" s="9"/>
      <c r="C14" s="9"/>
      <c r="D14" s="10" t="str">
        <f aca="false">IF(A14="","",IF(B14="","Give the reverse a name",IF(SUMPRODUCT(--EXACT($A$2:$A$201,A14))&gt;1,"Duplicate","ok")))</f>
        <v/>
      </c>
    </row>
    <row r="15" customFormat="false" ht="15" hidden="false" customHeight="false" outlineLevel="0" collapsed="false">
      <c r="A15" s="9"/>
      <c r="B15" s="9"/>
      <c r="C15" s="9"/>
      <c r="D15" s="10" t="str">
        <f aca="false">IF(A15="","",IF(B15="","Give the reverse a name",IF(SUMPRODUCT(--EXACT($A$2:$A$201,A15))&gt;1,"Duplicate","ok")))</f>
        <v/>
      </c>
    </row>
    <row r="16" customFormat="false" ht="15" hidden="false" customHeight="false" outlineLevel="0" collapsed="false">
      <c r="A16" s="9"/>
      <c r="B16" s="9"/>
      <c r="C16" s="9"/>
      <c r="D16" s="10" t="str">
        <f aca="false">IF(A16="","",IF(B16="","Give the reverse a name",IF(SUMPRODUCT(--EXACT($A$2:$A$201,A16))&gt;1,"Duplicate","ok")))</f>
        <v/>
      </c>
    </row>
    <row r="17" customFormat="false" ht="15" hidden="false" customHeight="false" outlineLevel="0" collapsed="false">
      <c r="A17" s="9"/>
      <c r="B17" s="9"/>
      <c r="C17" s="9"/>
      <c r="D17" s="10" t="str">
        <f aca="false">IF(A17="","",IF(B17="","Give the reverse a name",IF(SUMPRODUCT(--EXACT($A$2:$A$201,A17))&gt;1,"Duplicate","ok")))</f>
        <v/>
      </c>
    </row>
    <row r="18" customFormat="false" ht="15" hidden="false" customHeight="false" outlineLevel="0" collapsed="false">
      <c r="A18" s="9"/>
      <c r="B18" s="9"/>
      <c r="C18" s="9"/>
      <c r="D18" s="10" t="str">
        <f aca="false">IF(A18="","",IF(B18="","Give the reverse a name",IF(SUMPRODUCT(--EXACT($A$2:$A$201,A18))&gt;1,"Duplicate","ok")))</f>
        <v/>
      </c>
    </row>
    <row r="19" customFormat="false" ht="15" hidden="false" customHeight="false" outlineLevel="0" collapsed="false">
      <c r="A19" s="9"/>
      <c r="B19" s="9"/>
      <c r="C19" s="9"/>
      <c r="D19" s="10" t="str">
        <f aca="false">IF(A19="","",IF(B19="","Give the reverse a name",IF(SUMPRODUCT(--EXACT($A$2:$A$201,A19))&gt;1,"Duplicate","ok")))</f>
        <v/>
      </c>
    </row>
    <row r="20" customFormat="false" ht="15" hidden="false" customHeight="false" outlineLevel="0" collapsed="false">
      <c r="A20" s="9"/>
      <c r="B20" s="9"/>
      <c r="C20" s="9"/>
      <c r="D20" s="10" t="str">
        <f aca="false">IF(A20="","",IF(B20="","Give the reverse a name",IF(SUMPRODUCT(--EXACT($A$2:$A$201,A20))&gt;1,"Duplicate","ok")))</f>
        <v/>
      </c>
    </row>
    <row r="21" customFormat="false" ht="15" hidden="false" customHeight="false" outlineLevel="0" collapsed="false">
      <c r="A21" s="9"/>
      <c r="B21" s="9"/>
      <c r="C21" s="9"/>
      <c r="D21" s="10" t="str">
        <f aca="false">IF(A21="","",IF(B21="","Give the reverse a name",IF(SUMPRODUCT(--EXACT($A$2:$A$201,A21))&gt;1,"Duplicate","ok")))</f>
        <v/>
      </c>
    </row>
    <row r="22" customFormat="false" ht="15" hidden="false" customHeight="false" outlineLevel="0" collapsed="false">
      <c r="A22" s="9"/>
      <c r="B22" s="9"/>
      <c r="C22" s="9"/>
      <c r="D22" s="10" t="str">
        <f aca="false">IF(A22="","",IF(B22="","Give the reverse a name",IF(SUMPRODUCT(--EXACT($A$2:$A$201,A22))&gt;1,"Duplicate","ok")))</f>
        <v/>
      </c>
    </row>
    <row r="23" customFormat="false" ht="15" hidden="false" customHeight="false" outlineLevel="0" collapsed="false">
      <c r="A23" s="9"/>
      <c r="B23" s="9"/>
      <c r="C23" s="9"/>
      <c r="D23" s="10" t="str">
        <f aca="false">IF(A23="","",IF(B23="","Give the reverse a name",IF(SUMPRODUCT(--EXACT($A$2:$A$201,A23))&gt;1,"Duplicate","ok")))</f>
        <v/>
      </c>
    </row>
    <row r="24" customFormat="false" ht="15" hidden="false" customHeight="false" outlineLevel="0" collapsed="false">
      <c r="A24" s="9"/>
      <c r="B24" s="9"/>
      <c r="C24" s="9"/>
      <c r="D24" s="10" t="str">
        <f aca="false">IF(A24="","",IF(B24="","Give the reverse a name",IF(SUMPRODUCT(--EXACT($A$2:$A$201,A24))&gt;1,"Duplicate","ok")))</f>
        <v/>
      </c>
    </row>
    <row r="25" customFormat="false" ht="15" hidden="false" customHeight="false" outlineLevel="0" collapsed="false">
      <c r="A25" s="9"/>
      <c r="B25" s="9"/>
      <c r="C25" s="9"/>
      <c r="D25" s="10" t="str">
        <f aca="false">IF(A25="","",IF(B25="","Give the reverse a name",IF(SUMPRODUCT(--EXACT($A$2:$A$201,A25))&gt;1,"Duplicate","ok")))</f>
        <v/>
      </c>
    </row>
    <row r="26" customFormat="false" ht="15" hidden="false" customHeight="false" outlineLevel="0" collapsed="false">
      <c r="A26" s="9"/>
      <c r="B26" s="9"/>
      <c r="C26" s="9"/>
      <c r="D26" s="10" t="str">
        <f aca="false">IF(A26="","",IF(B26="","Give the reverse a name",IF(SUMPRODUCT(--EXACT($A$2:$A$201,A26))&gt;1,"Duplicate","ok")))</f>
        <v/>
      </c>
    </row>
    <row r="27" customFormat="false" ht="15" hidden="false" customHeight="false" outlineLevel="0" collapsed="false">
      <c r="A27" s="9"/>
      <c r="B27" s="9"/>
      <c r="C27" s="9"/>
      <c r="D27" s="10" t="str">
        <f aca="false">IF(A27="","",IF(B27="","Give the reverse a name",IF(SUMPRODUCT(--EXACT($A$2:$A$201,A27))&gt;1,"Duplicate","ok")))</f>
        <v/>
      </c>
    </row>
    <row r="28" customFormat="false" ht="15" hidden="false" customHeight="false" outlineLevel="0" collapsed="false">
      <c r="A28" s="9"/>
      <c r="B28" s="9"/>
      <c r="C28" s="9"/>
      <c r="D28" s="10" t="str">
        <f aca="false">IF(A28="","",IF(B28="","Give the reverse a name",IF(SUMPRODUCT(--EXACT($A$2:$A$201,A28))&gt;1,"Duplicate","ok")))</f>
        <v/>
      </c>
    </row>
    <row r="29" customFormat="false" ht="15" hidden="false" customHeight="false" outlineLevel="0" collapsed="false">
      <c r="A29" s="9"/>
      <c r="B29" s="9"/>
      <c r="C29" s="9"/>
      <c r="D29" s="10" t="str">
        <f aca="false">IF(A29="","",IF(B29="","Give the reverse a name",IF(SUMPRODUCT(--EXACT($A$2:$A$201,A29))&gt;1,"Duplicate","ok")))</f>
        <v/>
      </c>
    </row>
    <row r="30" customFormat="false" ht="15" hidden="false" customHeight="false" outlineLevel="0" collapsed="false">
      <c r="A30" s="9"/>
      <c r="B30" s="9"/>
      <c r="C30" s="9"/>
      <c r="D30" s="10" t="str">
        <f aca="false">IF(A30="","",IF(B30="","Give the reverse a name",IF(SUMPRODUCT(--EXACT($A$2:$A$201,A30))&gt;1,"Duplicate","ok")))</f>
        <v/>
      </c>
    </row>
    <row r="31" customFormat="false" ht="15" hidden="false" customHeight="false" outlineLevel="0" collapsed="false">
      <c r="A31" s="9"/>
      <c r="B31" s="9"/>
      <c r="C31" s="9"/>
      <c r="D31" s="10" t="str">
        <f aca="false">IF(A31="","",IF(B31="","Give the reverse a name",IF(SUMPRODUCT(--EXACT($A$2:$A$201,A31))&gt;1,"Duplicate","ok")))</f>
        <v/>
      </c>
    </row>
    <row r="32" customFormat="false" ht="15" hidden="false" customHeight="false" outlineLevel="0" collapsed="false">
      <c r="A32" s="9"/>
      <c r="B32" s="9"/>
      <c r="C32" s="9"/>
      <c r="D32" s="10" t="str">
        <f aca="false">IF(A32="","",IF(B32="","Give the reverse a name",IF(SUMPRODUCT(--EXACT($A$2:$A$201,A32))&gt;1,"Duplicate","ok")))</f>
        <v/>
      </c>
    </row>
    <row r="33" customFormat="false" ht="15" hidden="false" customHeight="false" outlineLevel="0" collapsed="false">
      <c r="A33" s="9"/>
      <c r="B33" s="9"/>
      <c r="C33" s="9"/>
      <c r="D33" s="10" t="str">
        <f aca="false">IF(A33="","",IF(B33="","Give the reverse a name",IF(SUMPRODUCT(--EXACT($A$2:$A$201,A33))&gt;1,"Duplicate","ok")))</f>
        <v/>
      </c>
    </row>
    <row r="34" customFormat="false" ht="15" hidden="false" customHeight="false" outlineLevel="0" collapsed="false">
      <c r="A34" s="9"/>
      <c r="B34" s="9"/>
      <c r="C34" s="9"/>
      <c r="D34" s="10" t="str">
        <f aca="false">IF(A34="","",IF(B34="","Give the reverse a name",IF(SUMPRODUCT(--EXACT($A$2:$A$201,A34))&gt;1,"Duplicate","ok")))</f>
        <v/>
      </c>
    </row>
    <row r="35" customFormat="false" ht="15" hidden="false" customHeight="false" outlineLevel="0" collapsed="false">
      <c r="A35" s="9"/>
      <c r="B35" s="9"/>
      <c r="C35" s="9"/>
      <c r="D35" s="10" t="str">
        <f aca="false">IF(A35="","",IF(B35="","Give the reverse a name",IF(SUMPRODUCT(--EXACT($A$2:$A$201,A35))&gt;1,"Duplicate","ok")))</f>
        <v/>
      </c>
    </row>
    <row r="36" customFormat="false" ht="15" hidden="false" customHeight="false" outlineLevel="0" collapsed="false">
      <c r="A36" s="9"/>
      <c r="B36" s="9"/>
      <c r="C36" s="9"/>
      <c r="D36" s="10" t="str">
        <f aca="false">IF(A36="","",IF(B36="","Give the reverse a name",IF(SUMPRODUCT(--EXACT($A$2:$A$201,A36))&gt;1,"Duplicate","ok")))</f>
        <v/>
      </c>
    </row>
    <row r="37" customFormat="false" ht="15" hidden="false" customHeight="false" outlineLevel="0" collapsed="false">
      <c r="A37" s="9"/>
      <c r="B37" s="9"/>
      <c r="C37" s="9"/>
      <c r="D37" s="10" t="str">
        <f aca="false">IF(A37="","",IF(B37="","Give the reverse a name",IF(SUMPRODUCT(--EXACT($A$2:$A$201,A37))&gt;1,"Duplicate","ok")))</f>
        <v/>
      </c>
    </row>
    <row r="38" customFormat="false" ht="15" hidden="false" customHeight="false" outlineLevel="0" collapsed="false">
      <c r="A38" s="9"/>
      <c r="B38" s="9"/>
      <c r="C38" s="9"/>
      <c r="D38" s="10" t="str">
        <f aca="false">IF(A38="","",IF(B38="","Give the reverse a name",IF(SUMPRODUCT(--EXACT($A$2:$A$201,A38))&gt;1,"Duplicate","ok")))</f>
        <v/>
      </c>
    </row>
    <row r="39" customFormat="false" ht="15" hidden="false" customHeight="false" outlineLevel="0" collapsed="false">
      <c r="A39" s="9"/>
      <c r="B39" s="9"/>
      <c r="C39" s="9"/>
      <c r="D39" s="10" t="str">
        <f aca="false">IF(A39="","",IF(B39="","Give the reverse a name",IF(SUMPRODUCT(--EXACT($A$2:$A$201,A39))&gt;1,"Duplicate","ok")))</f>
        <v/>
      </c>
    </row>
    <row r="40" customFormat="false" ht="15" hidden="false" customHeight="false" outlineLevel="0" collapsed="false">
      <c r="A40" s="9"/>
      <c r="B40" s="9"/>
      <c r="C40" s="9"/>
      <c r="D40" s="10" t="str">
        <f aca="false">IF(A40="","",IF(B40="","Give the reverse a name",IF(SUMPRODUCT(--EXACT($A$2:$A$201,A40))&gt;1,"Duplicate","ok")))</f>
        <v/>
      </c>
    </row>
    <row r="41" customFormat="false" ht="15" hidden="false" customHeight="false" outlineLevel="0" collapsed="false">
      <c r="A41" s="9"/>
      <c r="B41" s="9"/>
      <c r="C41" s="9"/>
      <c r="D41" s="10" t="str">
        <f aca="false">IF(A41="","",IF(B41="","Give the reverse a name",IF(SUMPRODUCT(--EXACT($A$2:$A$201,A41))&gt;1,"Duplicate","ok")))</f>
        <v/>
      </c>
    </row>
    <row r="42" customFormat="false" ht="15" hidden="false" customHeight="false" outlineLevel="0" collapsed="false">
      <c r="A42" s="9"/>
      <c r="B42" s="9"/>
      <c r="C42" s="9"/>
      <c r="D42" s="10" t="str">
        <f aca="false">IF(A42="","",IF(B42="","Give the reverse a name",IF(SUMPRODUCT(--EXACT($A$2:$A$201,A42))&gt;1,"Duplicate","ok")))</f>
        <v/>
      </c>
    </row>
    <row r="43" customFormat="false" ht="15" hidden="false" customHeight="false" outlineLevel="0" collapsed="false">
      <c r="A43" s="9"/>
      <c r="B43" s="9"/>
      <c r="C43" s="9"/>
      <c r="D43" s="10" t="str">
        <f aca="false">IF(A43="","",IF(B43="","Give the reverse a name",IF(SUMPRODUCT(--EXACT($A$2:$A$201,A43))&gt;1,"Duplicate","ok")))</f>
        <v/>
      </c>
    </row>
    <row r="44" customFormat="false" ht="15" hidden="false" customHeight="false" outlineLevel="0" collapsed="false">
      <c r="A44" s="9"/>
      <c r="B44" s="9"/>
      <c r="C44" s="9"/>
      <c r="D44" s="10" t="str">
        <f aca="false">IF(A44="","",IF(B44="","Give the reverse a name",IF(SUMPRODUCT(--EXACT($A$2:$A$201,A44))&gt;1,"Duplicate","ok")))</f>
        <v/>
      </c>
    </row>
    <row r="45" customFormat="false" ht="15" hidden="false" customHeight="false" outlineLevel="0" collapsed="false">
      <c r="A45" s="9"/>
      <c r="B45" s="9"/>
      <c r="C45" s="9"/>
      <c r="D45" s="10" t="str">
        <f aca="false">IF(A45="","",IF(B45="","Give the reverse a name",IF(SUMPRODUCT(--EXACT($A$2:$A$201,A45))&gt;1,"Duplicate","ok")))</f>
        <v/>
      </c>
    </row>
    <row r="46" customFormat="false" ht="15" hidden="false" customHeight="false" outlineLevel="0" collapsed="false">
      <c r="A46" s="9"/>
      <c r="B46" s="9"/>
      <c r="C46" s="9"/>
      <c r="D46" s="10" t="str">
        <f aca="false">IF(A46="","",IF(B46="","Give the reverse a name",IF(SUMPRODUCT(--EXACT($A$2:$A$201,A46))&gt;1,"Duplicate","ok")))</f>
        <v/>
      </c>
    </row>
    <row r="47" customFormat="false" ht="15" hidden="false" customHeight="false" outlineLevel="0" collapsed="false">
      <c r="A47" s="9"/>
      <c r="B47" s="9"/>
      <c r="C47" s="9"/>
      <c r="D47" s="10" t="str">
        <f aca="false">IF(A47="","",IF(B47="","Give the reverse a name",IF(SUMPRODUCT(--EXACT($A$2:$A$201,A47))&gt;1,"Duplicate","ok")))</f>
        <v/>
      </c>
    </row>
    <row r="48" customFormat="false" ht="15" hidden="false" customHeight="false" outlineLevel="0" collapsed="false">
      <c r="A48" s="9"/>
      <c r="B48" s="9"/>
      <c r="C48" s="9"/>
      <c r="D48" s="10" t="str">
        <f aca="false">IF(A48="","",IF(B48="","Give the reverse a name",IF(SUMPRODUCT(--EXACT($A$2:$A$201,A48))&gt;1,"Duplicate","ok")))</f>
        <v/>
      </c>
    </row>
    <row r="49" customFormat="false" ht="15" hidden="false" customHeight="false" outlineLevel="0" collapsed="false">
      <c r="A49" s="9"/>
      <c r="B49" s="9"/>
      <c r="C49" s="9"/>
      <c r="D49" s="10" t="str">
        <f aca="false">IF(A49="","",IF(B49="","Give the reverse a name",IF(SUMPRODUCT(--EXACT($A$2:$A$201,A49))&gt;1,"Duplicate","ok")))</f>
        <v/>
      </c>
    </row>
    <row r="50" customFormat="false" ht="15" hidden="false" customHeight="false" outlineLevel="0" collapsed="false">
      <c r="A50" s="9"/>
      <c r="B50" s="9"/>
      <c r="C50" s="9"/>
      <c r="D50" s="10" t="str">
        <f aca="false">IF(A50="","",IF(B50="","Give the reverse a name",IF(SUMPRODUCT(--EXACT($A$2:$A$201,A50))&gt;1,"Duplicate","ok")))</f>
        <v/>
      </c>
    </row>
    <row r="51" customFormat="false" ht="15" hidden="false" customHeight="false" outlineLevel="0" collapsed="false">
      <c r="A51" s="9"/>
      <c r="B51" s="9"/>
      <c r="C51" s="9"/>
      <c r="D51" s="10" t="str">
        <f aca="false">IF(A51="","",IF(B51="","Give the reverse a name",IF(SUMPRODUCT(--EXACT($A$2:$A$201,A51))&gt;1,"Duplicate","ok")))</f>
        <v/>
      </c>
    </row>
    <row r="52" customFormat="false" ht="15" hidden="false" customHeight="false" outlineLevel="0" collapsed="false">
      <c r="A52" s="9"/>
      <c r="B52" s="9"/>
      <c r="C52" s="9"/>
      <c r="D52" s="10" t="str">
        <f aca="false">IF(A52="","",IF(B52="","Give the reverse a name",IF(SUMPRODUCT(--EXACT($A$2:$A$201,A52))&gt;1,"Duplicate","ok")))</f>
        <v/>
      </c>
    </row>
    <row r="53" customFormat="false" ht="15" hidden="false" customHeight="false" outlineLevel="0" collapsed="false">
      <c r="A53" s="9"/>
      <c r="B53" s="9"/>
      <c r="C53" s="9"/>
      <c r="D53" s="10" t="str">
        <f aca="false">IF(A53="","",IF(B53="","Give the reverse a name",IF(SUMPRODUCT(--EXACT($A$2:$A$201,A53))&gt;1,"Duplicate","ok")))</f>
        <v/>
      </c>
    </row>
    <row r="54" customFormat="false" ht="15" hidden="false" customHeight="false" outlineLevel="0" collapsed="false">
      <c r="A54" s="9"/>
      <c r="B54" s="9"/>
      <c r="C54" s="9"/>
      <c r="D54" s="10" t="str">
        <f aca="false">IF(A54="","",IF(B54="","Give the reverse a name",IF(SUMPRODUCT(--EXACT($A$2:$A$201,A54))&gt;1,"Duplicate","ok")))</f>
        <v/>
      </c>
    </row>
    <row r="55" customFormat="false" ht="15" hidden="false" customHeight="false" outlineLevel="0" collapsed="false">
      <c r="A55" s="9"/>
      <c r="B55" s="9"/>
      <c r="C55" s="9"/>
      <c r="D55" s="10" t="str">
        <f aca="false">IF(A55="","",IF(B55="","Give the reverse a name",IF(SUMPRODUCT(--EXACT($A$2:$A$201,A55))&gt;1,"Duplicate","ok")))</f>
        <v/>
      </c>
    </row>
    <row r="56" customFormat="false" ht="15" hidden="false" customHeight="false" outlineLevel="0" collapsed="false">
      <c r="A56" s="9"/>
      <c r="B56" s="9"/>
      <c r="C56" s="9"/>
      <c r="D56" s="10" t="str">
        <f aca="false">IF(A56="","",IF(B56="","Give the reverse a name",IF(SUMPRODUCT(--EXACT($A$2:$A$201,A56))&gt;1,"Duplicate","ok")))</f>
        <v/>
      </c>
    </row>
    <row r="57" customFormat="false" ht="15" hidden="false" customHeight="false" outlineLevel="0" collapsed="false">
      <c r="A57" s="9"/>
      <c r="B57" s="9"/>
      <c r="C57" s="9"/>
      <c r="D57" s="10" t="str">
        <f aca="false">IF(A57="","",IF(B57="","Give the reverse a name",IF(SUMPRODUCT(--EXACT($A$2:$A$201,A57))&gt;1,"Duplicate","ok")))</f>
        <v/>
      </c>
    </row>
    <row r="58" customFormat="false" ht="15" hidden="false" customHeight="false" outlineLevel="0" collapsed="false">
      <c r="A58" s="9"/>
      <c r="B58" s="9"/>
      <c r="C58" s="9"/>
      <c r="D58" s="10" t="str">
        <f aca="false">IF(A58="","",IF(B58="","Give the reverse a name",IF(SUMPRODUCT(--EXACT($A$2:$A$201,A58))&gt;1,"Duplicate","ok")))</f>
        <v/>
      </c>
    </row>
    <row r="59" customFormat="false" ht="15" hidden="false" customHeight="false" outlineLevel="0" collapsed="false">
      <c r="A59" s="9"/>
      <c r="B59" s="9"/>
      <c r="C59" s="9"/>
      <c r="D59" s="10" t="str">
        <f aca="false">IF(A59="","",IF(B59="","Give the reverse a name",IF(SUMPRODUCT(--EXACT($A$2:$A$201,A59))&gt;1,"Duplicate","ok")))</f>
        <v/>
      </c>
    </row>
    <row r="60" customFormat="false" ht="15" hidden="false" customHeight="false" outlineLevel="0" collapsed="false">
      <c r="A60" s="9"/>
      <c r="B60" s="9"/>
      <c r="C60" s="9"/>
      <c r="D60" s="10" t="str">
        <f aca="false">IF(A60="","",IF(B60="","Give the reverse a name",IF(SUMPRODUCT(--EXACT($A$2:$A$201,A60))&gt;1,"Duplicate","ok")))</f>
        <v/>
      </c>
    </row>
    <row r="61" customFormat="false" ht="15" hidden="false" customHeight="false" outlineLevel="0" collapsed="false">
      <c r="A61" s="9"/>
      <c r="B61" s="9"/>
      <c r="C61" s="9"/>
      <c r="D61" s="10" t="str">
        <f aca="false">IF(A61="","",IF(B61="","Give the reverse a name",IF(SUMPRODUCT(--EXACT($A$2:$A$201,A61))&gt;1,"Duplicate","ok")))</f>
        <v/>
      </c>
    </row>
    <row r="62" customFormat="false" ht="15" hidden="false" customHeight="false" outlineLevel="0" collapsed="false">
      <c r="A62" s="9"/>
      <c r="B62" s="9"/>
      <c r="C62" s="9"/>
      <c r="D62" s="10" t="str">
        <f aca="false">IF(A62="","",IF(B62="","Give the reverse a name",IF(SUMPRODUCT(--EXACT($A$2:$A$201,A62))&gt;1,"Duplicate","ok")))</f>
        <v/>
      </c>
    </row>
    <row r="63" customFormat="false" ht="15" hidden="false" customHeight="false" outlineLevel="0" collapsed="false">
      <c r="A63" s="9"/>
      <c r="B63" s="9"/>
      <c r="C63" s="9"/>
      <c r="D63" s="10" t="str">
        <f aca="false">IF(A63="","",IF(B63="","Give the reverse a name",IF(SUMPRODUCT(--EXACT($A$2:$A$201,A63))&gt;1,"Duplicate","ok")))</f>
        <v/>
      </c>
    </row>
    <row r="64" customFormat="false" ht="15" hidden="false" customHeight="false" outlineLevel="0" collapsed="false">
      <c r="A64" s="9"/>
      <c r="B64" s="9"/>
      <c r="C64" s="9"/>
      <c r="D64" s="10" t="str">
        <f aca="false">IF(A64="","",IF(B64="","Give the reverse a name",IF(SUMPRODUCT(--EXACT($A$2:$A$201,A64))&gt;1,"Duplicate","ok")))</f>
        <v/>
      </c>
    </row>
    <row r="65" customFormat="false" ht="15" hidden="false" customHeight="false" outlineLevel="0" collapsed="false">
      <c r="A65" s="9"/>
      <c r="B65" s="9"/>
      <c r="C65" s="9"/>
      <c r="D65" s="10" t="str">
        <f aca="false">IF(A65="","",IF(B65="","Give the reverse a name",IF(SUMPRODUCT(--EXACT($A$2:$A$201,A65))&gt;1,"Duplicate","ok")))</f>
        <v/>
      </c>
    </row>
    <row r="66" customFormat="false" ht="15" hidden="false" customHeight="false" outlineLevel="0" collapsed="false">
      <c r="A66" s="9"/>
      <c r="B66" s="9"/>
      <c r="C66" s="9"/>
      <c r="D66" s="10" t="str">
        <f aca="false">IF(A66="","",IF(B66="","Give the reverse a name",IF(SUMPRODUCT(--EXACT($A$2:$A$201,A66))&gt;1,"Duplicate","ok")))</f>
        <v/>
      </c>
    </row>
    <row r="67" customFormat="false" ht="15" hidden="false" customHeight="false" outlineLevel="0" collapsed="false">
      <c r="A67" s="9"/>
      <c r="B67" s="9"/>
      <c r="C67" s="9"/>
      <c r="D67" s="10" t="str">
        <f aca="false">IF(A67="","",IF(B67="","Give the reverse a name",IF(SUMPRODUCT(--EXACT($A$2:$A$201,A67))&gt;1,"Duplicate","ok")))</f>
        <v/>
      </c>
    </row>
    <row r="68" customFormat="false" ht="15" hidden="false" customHeight="false" outlineLevel="0" collapsed="false">
      <c r="A68" s="9"/>
      <c r="B68" s="9"/>
      <c r="C68" s="9"/>
      <c r="D68" s="10" t="str">
        <f aca="false">IF(A68="","",IF(B68="","Give the reverse a name",IF(SUMPRODUCT(--EXACT($A$2:$A$201,A68))&gt;1,"Duplicate","ok")))</f>
        <v/>
      </c>
    </row>
    <row r="69" customFormat="false" ht="15" hidden="false" customHeight="false" outlineLevel="0" collapsed="false">
      <c r="A69" s="9"/>
      <c r="B69" s="9"/>
      <c r="C69" s="9"/>
      <c r="D69" s="10" t="str">
        <f aca="false">IF(A69="","",IF(B69="","Give the reverse a name",IF(SUMPRODUCT(--EXACT($A$2:$A$201,A69))&gt;1,"Duplicate","ok")))</f>
        <v/>
      </c>
    </row>
    <row r="70" customFormat="false" ht="15" hidden="false" customHeight="false" outlineLevel="0" collapsed="false">
      <c r="A70" s="9"/>
      <c r="B70" s="9"/>
      <c r="C70" s="9"/>
      <c r="D70" s="10" t="str">
        <f aca="false">IF(A70="","",IF(B70="","Give the reverse a name",IF(SUMPRODUCT(--EXACT($A$2:$A$201,A70))&gt;1,"Duplicate","ok")))</f>
        <v/>
      </c>
    </row>
    <row r="71" customFormat="false" ht="15" hidden="false" customHeight="false" outlineLevel="0" collapsed="false">
      <c r="A71" s="9"/>
      <c r="B71" s="9"/>
      <c r="C71" s="9"/>
      <c r="D71" s="10" t="str">
        <f aca="false">IF(A71="","",IF(B71="","Give the reverse a name",IF(SUMPRODUCT(--EXACT($A$2:$A$201,A71))&gt;1,"Duplicate","ok")))</f>
        <v/>
      </c>
    </row>
    <row r="72" customFormat="false" ht="15" hidden="false" customHeight="false" outlineLevel="0" collapsed="false">
      <c r="A72" s="9"/>
      <c r="B72" s="9"/>
      <c r="C72" s="9"/>
      <c r="D72" s="10" t="str">
        <f aca="false">IF(A72="","",IF(B72="","Give the reverse a name",IF(SUMPRODUCT(--EXACT($A$2:$A$201,A72))&gt;1,"Duplicate","ok")))</f>
        <v/>
      </c>
    </row>
    <row r="73" customFormat="false" ht="15" hidden="false" customHeight="false" outlineLevel="0" collapsed="false">
      <c r="A73" s="9"/>
      <c r="B73" s="9"/>
      <c r="C73" s="9"/>
      <c r="D73" s="10" t="str">
        <f aca="false">IF(A73="","",IF(B73="","Give the reverse a name",IF(SUMPRODUCT(--EXACT($A$2:$A$201,A73))&gt;1,"Duplicate","ok")))</f>
        <v/>
      </c>
    </row>
    <row r="74" customFormat="false" ht="15" hidden="false" customHeight="false" outlineLevel="0" collapsed="false">
      <c r="A74" s="9"/>
      <c r="B74" s="9"/>
      <c r="C74" s="9"/>
      <c r="D74" s="10" t="str">
        <f aca="false">IF(A74="","",IF(B74="","Give the reverse a name",IF(SUMPRODUCT(--EXACT($A$2:$A$201,A74))&gt;1,"Duplicate","ok")))</f>
        <v/>
      </c>
    </row>
    <row r="75" customFormat="false" ht="15" hidden="false" customHeight="false" outlineLevel="0" collapsed="false">
      <c r="A75" s="9"/>
      <c r="B75" s="9"/>
      <c r="C75" s="9"/>
      <c r="D75" s="10" t="str">
        <f aca="false">IF(A75="","",IF(B75="","Give the reverse a name",IF(SUMPRODUCT(--EXACT($A$2:$A$201,A75))&gt;1,"Duplicate","ok")))</f>
        <v/>
      </c>
    </row>
    <row r="76" customFormat="false" ht="15" hidden="false" customHeight="false" outlineLevel="0" collapsed="false">
      <c r="A76" s="9"/>
      <c r="B76" s="9"/>
      <c r="C76" s="9"/>
      <c r="D76" s="10" t="str">
        <f aca="false">IF(A76="","",IF(B76="","Give the reverse a name",IF(SUMPRODUCT(--EXACT($A$2:$A$201,A76))&gt;1,"Duplicate","ok")))</f>
        <v/>
      </c>
    </row>
    <row r="77" customFormat="false" ht="15" hidden="false" customHeight="false" outlineLevel="0" collapsed="false">
      <c r="A77" s="9"/>
      <c r="B77" s="9"/>
      <c r="C77" s="9"/>
      <c r="D77" s="10" t="str">
        <f aca="false">IF(A77="","",IF(B77="","Give the reverse a name",IF(SUMPRODUCT(--EXACT($A$2:$A$201,A77))&gt;1,"Duplicate","ok")))</f>
        <v/>
      </c>
    </row>
    <row r="78" customFormat="false" ht="15" hidden="false" customHeight="false" outlineLevel="0" collapsed="false">
      <c r="A78" s="9"/>
      <c r="B78" s="9"/>
      <c r="C78" s="9"/>
      <c r="D78" s="10" t="str">
        <f aca="false">IF(A78="","",IF(B78="","Give the reverse a name",IF(SUMPRODUCT(--EXACT($A$2:$A$201,A78))&gt;1,"Duplicate","ok")))</f>
        <v/>
      </c>
    </row>
    <row r="79" customFormat="false" ht="15" hidden="false" customHeight="false" outlineLevel="0" collapsed="false">
      <c r="A79" s="9"/>
      <c r="B79" s="9"/>
      <c r="C79" s="9"/>
      <c r="D79" s="10" t="str">
        <f aca="false">IF(A79="","",IF(B79="","Give the reverse a name",IF(SUMPRODUCT(--EXACT($A$2:$A$201,A79))&gt;1,"Duplicate","ok")))</f>
        <v/>
      </c>
    </row>
    <row r="80" customFormat="false" ht="15" hidden="false" customHeight="false" outlineLevel="0" collapsed="false">
      <c r="A80" s="9"/>
      <c r="B80" s="9"/>
      <c r="C80" s="9"/>
      <c r="D80" s="10" t="str">
        <f aca="false">IF(A80="","",IF(B80="","Give the reverse a name",IF(SUMPRODUCT(--EXACT($A$2:$A$201,A80))&gt;1,"Duplicate","ok")))</f>
        <v/>
      </c>
    </row>
    <row r="81" customFormat="false" ht="15" hidden="false" customHeight="false" outlineLevel="0" collapsed="false">
      <c r="A81" s="9"/>
      <c r="B81" s="9"/>
      <c r="C81" s="9"/>
      <c r="D81" s="10" t="str">
        <f aca="false">IF(A81="","",IF(B81="","Give the reverse a name",IF(SUMPRODUCT(--EXACT($A$2:$A$201,A81))&gt;1,"Duplicate","ok")))</f>
        <v/>
      </c>
    </row>
    <row r="82" customFormat="false" ht="15" hidden="false" customHeight="false" outlineLevel="0" collapsed="false">
      <c r="A82" s="9"/>
      <c r="B82" s="9"/>
      <c r="C82" s="9"/>
      <c r="D82" s="10" t="str">
        <f aca="false">IF(A82="","",IF(B82="","Give the reverse a name",IF(SUMPRODUCT(--EXACT($A$2:$A$201,A82))&gt;1,"Duplicate","ok")))</f>
        <v/>
      </c>
    </row>
    <row r="83" customFormat="false" ht="15" hidden="false" customHeight="false" outlineLevel="0" collapsed="false">
      <c r="A83" s="9"/>
      <c r="B83" s="9"/>
      <c r="C83" s="9"/>
      <c r="D83" s="10" t="str">
        <f aca="false">IF(A83="","",IF(B83="","Give the reverse a name",IF(SUMPRODUCT(--EXACT($A$2:$A$201,A83))&gt;1,"Duplicate","ok")))</f>
        <v/>
      </c>
    </row>
    <row r="84" customFormat="false" ht="15" hidden="false" customHeight="false" outlineLevel="0" collapsed="false">
      <c r="A84" s="9"/>
      <c r="B84" s="9"/>
      <c r="C84" s="9"/>
      <c r="D84" s="10" t="str">
        <f aca="false">IF(A84="","",IF(B84="","Give the reverse a name",IF(SUMPRODUCT(--EXACT($A$2:$A$201,A84))&gt;1,"Duplicate","ok")))</f>
        <v/>
      </c>
    </row>
    <row r="85" customFormat="false" ht="15" hidden="false" customHeight="false" outlineLevel="0" collapsed="false">
      <c r="A85" s="9"/>
      <c r="B85" s="9"/>
      <c r="C85" s="9"/>
      <c r="D85" s="10" t="str">
        <f aca="false">IF(A85="","",IF(B85="","Give the reverse a name",IF(SUMPRODUCT(--EXACT($A$2:$A$201,A85))&gt;1,"Duplicate","ok")))</f>
        <v/>
      </c>
    </row>
    <row r="86" customFormat="false" ht="15" hidden="false" customHeight="false" outlineLevel="0" collapsed="false">
      <c r="A86" s="9"/>
      <c r="B86" s="9"/>
      <c r="C86" s="9"/>
      <c r="D86" s="10" t="str">
        <f aca="false">IF(A86="","",IF(B86="","Give the reverse a name",IF(SUMPRODUCT(--EXACT($A$2:$A$201,A86))&gt;1,"Duplicate","ok")))</f>
        <v/>
      </c>
    </row>
    <row r="87" customFormat="false" ht="15" hidden="false" customHeight="false" outlineLevel="0" collapsed="false">
      <c r="A87" s="9"/>
      <c r="B87" s="9"/>
      <c r="C87" s="9"/>
      <c r="D87" s="10" t="str">
        <f aca="false">IF(A87="","",IF(B87="","Give the reverse a name",IF(SUMPRODUCT(--EXACT($A$2:$A$201,A87))&gt;1,"Duplicate","ok")))</f>
        <v/>
      </c>
    </row>
    <row r="88" customFormat="false" ht="15" hidden="false" customHeight="false" outlineLevel="0" collapsed="false">
      <c r="A88" s="9"/>
      <c r="B88" s="9"/>
      <c r="C88" s="9"/>
      <c r="D88" s="10" t="str">
        <f aca="false">IF(A88="","",IF(B88="","Give the reverse a name",IF(SUMPRODUCT(--EXACT($A$2:$A$201,A88))&gt;1,"Duplicate","ok")))</f>
        <v/>
      </c>
    </row>
    <row r="89" customFormat="false" ht="15" hidden="false" customHeight="false" outlineLevel="0" collapsed="false">
      <c r="A89" s="9"/>
      <c r="B89" s="9"/>
      <c r="C89" s="9"/>
      <c r="D89" s="10" t="str">
        <f aca="false">IF(A89="","",IF(B89="","Give the reverse a name",IF(SUMPRODUCT(--EXACT($A$2:$A$201,A89))&gt;1,"Duplicate","ok")))</f>
        <v/>
      </c>
    </row>
    <row r="90" customFormat="false" ht="15" hidden="false" customHeight="false" outlineLevel="0" collapsed="false">
      <c r="A90" s="9"/>
      <c r="B90" s="9"/>
      <c r="C90" s="9"/>
      <c r="D90" s="10" t="str">
        <f aca="false">IF(A90="","",IF(B90="","Give the reverse a name",IF(SUMPRODUCT(--EXACT($A$2:$A$201,A90))&gt;1,"Duplicate","ok")))</f>
        <v/>
      </c>
    </row>
    <row r="91" customFormat="false" ht="15" hidden="false" customHeight="false" outlineLevel="0" collapsed="false">
      <c r="A91" s="9"/>
      <c r="B91" s="9"/>
      <c r="C91" s="9"/>
      <c r="D91" s="10" t="str">
        <f aca="false">IF(A91="","",IF(B91="","Give the reverse a name",IF(SUMPRODUCT(--EXACT($A$2:$A$201,A91))&gt;1,"Duplicate","ok")))</f>
        <v/>
      </c>
    </row>
    <row r="92" customFormat="false" ht="15" hidden="false" customHeight="false" outlineLevel="0" collapsed="false">
      <c r="A92" s="9"/>
      <c r="B92" s="9"/>
      <c r="C92" s="9"/>
      <c r="D92" s="10" t="str">
        <f aca="false">IF(A92="","",IF(B92="","Give the reverse a name",IF(SUMPRODUCT(--EXACT($A$2:$A$201,A92))&gt;1,"Duplicate","ok")))</f>
        <v/>
      </c>
    </row>
    <row r="93" customFormat="false" ht="15" hidden="false" customHeight="false" outlineLevel="0" collapsed="false">
      <c r="A93" s="9"/>
      <c r="B93" s="9"/>
      <c r="C93" s="9"/>
      <c r="D93" s="10" t="str">
        <f aca="false">IF(A93="","",IF(B93="","Give the reverse a name",IF(SUMPRODUCT(--EXACT($A$2:$A$201,A93))&gt;1,"Duplicate","ok")))</f>
        <v/>
      </c>
    </row>
    <row r="94" customFormat="false" ht="15" hidden="false" customHeight="false" outlineLevel="0" collapsed="false">
      <c r="A94" s="9"/>
      <c r="B94" s="9"/>
      <c r="C94" s="9"/>
      <c r="D94" s="10" t="str">
        <f aca="false">IF(A94="","",IF(B94="","Give the reverse a name",IF(SUMPRODUCT(--EXACT($A$2:$A$201,A94))&gt;1,"Duplicate","ok")))</f>
        <v/>
      </c>
    </row>
    <row r="95" customFormat="false" ht="15" hidden="false" customHeight="false" outlineLevel="0" collapsed="false">
      <c r="A95" s="9"/>
      <c r="B95" s="9"/>
      <c r="C95" s="9"/>
      <c r="D95" s="10" t="str">
        <f aca="false">IF(A95="","",IF(B95="","Give the reverse a name",IF(SUMPRODUCT(--EXACT($A$2:$A$201,A95))&gt;1,"Duplicate","ok")))</f>
        <v/>
      </c>
    </row>
    <row r="96" customFormat="false" ht="15" hidden="false" customHeight="false" outlineLevel="0" collapsed="false">
      <c r="A96" s="9"/>
      <c r="B96" s="9"/>
      <c r="C96" s="9"/>
      <c r="D96" s="10" t="str">
        <f aca="false">IF(A96="","",IF(B96="","Give the reverse a name",IF(SUMPRODUCT(--EXACT($A$2:$A$201,A96))&gt;1,"Duplicate","ok")))</f>
        <v/>
      </c>
    </row>
    <row r="97" customFormat="false" ht="15" hidden="false" customHeight="false" outlineLevel="0" collapsed="false">
      <c r="A97" s="9"/>
      <c r="B97" s="9"/>
      <c r="C97" s="9"/>
      <c r="D97" s="10" t="str">
        <f aca="false">IF(A97="","",IF(B97="","Give the reverse a name",IF(SUMPRODUCT(--EXACT($A$2:$A$201,A97))&gt;1,"Duplicate","ok")))</f>
        <v/>
      </c>
    </row>
    <row r="98" customFormat="false" ht="15" hidden="false" customHeight="false" outlineLevel="0" collapsed="false">
      <c r="A98" s="9"/>
      <c r="B98" s="9"/>
      <c r="C98" s="9"/>
      <c r="D98" s="10" t="str">
        <f aca="false">IF(A98="","",IF(B98="","Give the reverse a name",IF(SUMPRODUCT(--EXACT($A$2:$A$201,A98))&gt;1,"Duplicate","ok")))</f>
        <v/>
      </c>
    </row>
    <row r="99" customFormat="false" ht="15" hidden="false" customHeight="false" outlineLevel="0" collapsed="false">
      <c r="A99" s="9"/>
      <c r="B99" s="9"/>
      <c r="C99" s="9"/>
      <c r="D99" s="10" t="str">
        <f aca="false">IF(A99="","",IF(B99="","Give the reverse a name",IF(SUMPRODUCT(--EXACT($A$2:$A$201,A99))&gt;1,"Duplicate","ok")))</f>
        <v/>
      </c>
    </row>
    <row r="100" customFormat="false" ht="15" hidden="false" customHeight="false" outlineLevel="0" collapsed="false">
      <c r="A100" s="9"/>
      <c r="B100" s="9"/>
      <c r="C100" s="9"/>
      <c r="D100" s="10" t="str">
        <f aca="false">IF(A100="","",IF(B100="","Give the reverse a name",IF(SUMPRODUCT(--EXACT($A$2:$A$201,A100))&gt;1,"Duplicate","ok")))</f>
        <v/>
      </c>
    </row>
    <row r="101" customFormat="false" ht="15" hidden="false" customHeight="false" outlineLevel="0" collapsed="false">
      <c r="A101" s="9"/>
      <c r="B101" s="9"/>
      <c r="C101" s="9"/>
      <c r="D101" s="10" t="str">
        <f aca="false">IF(A101="","",IF(B101="","Give the reverse a name",IF(SUMPRODUCT(--EXACT($A$2:$A$201,A101))&gt;1,"Duplicate","ok")))</f>
        <v/>
      </c>
    </row>
    <row r="102" customFormat="false" ht="15" hidden="false" customHeight="false" outlineLevel="0" collapsed="false">
      <c r="A102" s="9"/>
      <c r="B102" s="9"/>
      <c r="C102" s="9"/>
      <c r="D102" s="10" t="str">
        <f aca="false">IF(A102="","",IF(B102="","Give the reverse a name",IF(SUMPRODUCT(--EXACT($A$2:$A$201,A102))&gt;1,"Duplicate","ok")))</f>
        <v/>
      </c>
    </row>
    <row r="103" customFormat="false" ht="15" hidden="false" customHeight="false" outlineLevel="0" collapsed="false">
      <c r="A103" s="9"/>
      <c r="B103" s="9"/>
      <c r="C103" s="9"/>
      <c r="D103" s="10" t="str">
        <f aca="false">IF(A103="","",IF(B103="","Give the reverse a name",IF(SUMPRODUCT(--EXACT($A$2:$A$201,A103))&gt;1,"Duplicate","ok")))</f>
        <v/>
      </c>
    </row>
    <row r="104" customFormat="false" ht="15" hidden="false" customHeight="false" outlineLevel="0" collapsed="false">
      <c r="A104" s="9"/>
      <c r="B104" s="9"/>
      <c r="C104" s="9"/>
      <c r="D104" s="10" t="str">
        <f aca="false">IF(A104="","",IF(B104="","Give the reverse a name",IF(SUMPRODUCT(--EXACT($A$2:$A$201,A104))&gt;1,"Duplicate","ok")))</f>
        <v/>
      </c>
    </row>
    <row r="105" customFormat="false" ht="15" hidden="false" customHeight="false" outlineLevel="0" collapsed="false">
      <c r="A105" s="9"/>
      <c r="B105" s="9"/>
      <c r="C105" s="9"/>
      <c r="D105" s="10" t="str">
        <f aca="false">IF(A105="","",IF(B105="","Give the reverse a name",IF(SUMPRODUCT(--EXACT($A$2:$A$201,A105))&gt;1,"Duplicate","ok")))</f>
        <v/>
      </c>
    </row>
    <row r="106" customFormat="false" ht="15" hidden="false" customHeight="false" outlineLevel="0" collapsed="false">
      <c r="A106" s="9"/>
      <c r="B106" s="9"/>
      <c r="C106" s="9"/>
      <c r="D106" s="10" t="str">
        <f aca="false">IF(A106="","",IF(B106="","Give the reverse a name",IF(SUMPRODUCT(--EXACT($A$2:$A$201,A106))&gt;1,"Duplicate","ok")))</f>
        <v/>
      </c>
    </row>
    <row r="107" customFormat="false" ht="15" hidden="false" customHeight="false" outlineLevel="0" collapsed="false">
      <c r="A107" s="9"/>
      <c r="B107" s="9"/>
      <c r="C107" s="9"/>
      <c r="D107" s="10" t="str">
        <f aca="false">IF(A107="","",IF(B107="","Give the reverse a name",IF(SUMPRODUCT(--EXACT($A$2:$A$201,A107))&gt;1,"Duplicate","ok")))</f>
        <v/>
      </c>
    </row>
    <row r="108" customFormat="false" ht="15" hidden="false" customHeight="false" outlineLevel="0" collapsed="false">
      <c r="A108" s="9"/>
      <c r="B108" s="9"/>
      <c r="C108" s="9"/>
      <c r="D108" s="10" t="str">
        <f aca="false">IF(A108="","",IF(B108="","Give the reverse a name",IF(SUMPRODUCT(--EXACT($A$2:$A$201,A108))&gt;1,"Duplicate","ok")))</f>
        <v/>
      </c>
    </row>
    <row r="109" customFormat="false" ht="15" hidden="false" customHeight="false" outlineLevel="0" collapsed="false">
      <c r="A109" s="9"/>
      <c r="B109" s="9"/>
      <c r="C109" s="9"/>
      <c r="D109" s="10" t="str">
        <f aca="false">IF(A109="","",IF(B109="","Give the reverse a name",IF(SUMPRODUCT(--EXACT($A$2:$A$201,A109))&gt;1,"Duplicate","ok")))</f>
        <v/>
      </c>
    </row>
    <row r="110" customFormat="false" ht="15" hidden="false" customHeight="false" outlineLevel="0" collapsed="false">
      <c r="A110" s="9"/>
      <c r="B110" s="9"/>
      <c r="C110" s="9"/>
      <c r="D110" s="10" t="str">
        <f aca="false">IF(A110="","",IF(B110="","Give the reverse a name",IF(SUMPRODUCT(--EXACT($A$2:$A$201,A110))&gt;1,"Duplicate","ok")))</f>
        <v/>
      </c>
    </row>
    <row r="111" customFormat="false" ht="15" hidden="false" customHeight="false" outlineLevel="0" collapsed="false">
      <c r="A111" s="9"/>
      <c r="B111" s="9"/>
      <c r="C111" s="9"/>
      <c r="D111" s="10" t="str">
        <f aca="false">IF(A111="","",IF(B111="","Give the reverse a name",IF(SUMPRODUCT(--EXACT($A$2:$A$201,A111))&gt;1,"Duplicate","ok")))</f>
        <v/>
      </c>
    </row>
    <row r="112" customFormat="false" ht="15" hidden="false" customHeight="false" outlineLevel="0" collapsed="false">
      <c r="A112" s="9"/>
      <c r="B112" s="9"/>
      <c r="C112" s="9"/>
      <c r="D112" s="10" t="str">
        <f aca="false">IF(A112="","",IF(B112="","Give the reverse a name",IF(SUMPRODUCT(--EXACT($A$2:$A$201,A112))&gt;1,"Duplicate","ok")))</f>
        <v/>
      </c>
    </row>
    <row r="113" customFormat="false" ht="15" hidden="false" customHeight="false" outlineLevel="0" collapsed="false">
      <c r="A113" s="9"/>
      <c r="B113" s="9"/>
      <c r="C113" s="9"/>
      <c r="D113" s="10" t="str">
        <f aca="false">IF(A113="","",IF(B113="","Give the reverse a name",IF(SUMPRODUCT(--EXACT($A$2:$A$201,A113))&gt;1,"Duplicate","ok")))</f>
        <v/>
      </c>
    </row>
    <row r="114" customFormat="false" ht="15" hidden="false" customHeight="false" outlineLevel="0" collapsed="false">
      <c r="A114" s="9"/>
      <c r="B114" s="9"/>
      <c r="C114" s="9"/>
      <c r="D114" s="10" t="str">
        <f aca="false">IF(A114="","",IF(B114="","Give the reverse a name",IF(SUMPRODUCT(--EXACT($A$2:$A$201,A114))&gt;1,"Duplicate","ok")))</f>
        <v/>
      </c>
    </row>
    <row r="115" customFormat="false" ht="15" hidden="false" customHeight="false" outlineLevel="0" collapsed="false">
      <c r="A115" s="9"/>
      <c r="B115" s="9"/>
      <c r="C115" s="9"/>
      <c r="D115" s="10" t="str">
        <f aca="false">IF(A115="","",IF(B115="","Give the reverse a name",IF(SUMPRODUCT(--EXACT($A$2:$A$201,A115))&gt;1,"Duplicate","ok")))</f>
        <v/>
      </c>
    </row>
    <row r="116" customFormat="false" ht="15" hidden="false" customHeight="false" outlineLevel="0" collapsed="false">
      <c r="A116" s="9"/>
      <c r="B116" s="9"/>
      <c r="C116" s="9"/>
      <c r="D116" s="10" t="str">
        <f aca="false">IF(A116="","",IF(B116="","Give the reverse a name",IF(SUMPRODUCT(--EXACT($A$2:$A$201,A116))&gt;1,"Duplicate","ok")))</f>
        <v/>
      </c>
    </row>
    <row r="117" customFormat="false" ht="15" hidden="false" customHeight="false" outlineLevel="0" collapsed="false">
      <c r="A117" s="9"/>
      <c r="B117" s="9"/>
      <c r="C117" s="9"/>
      <c r="D117" s="10" t="str">
        <f aca="false">IF(A117="","",IF(B117="","Give the reverse a name",IF(SUMPRODUCT(--EXACT($A$2:$A$201,A117))&gt;1,"Duplicate","ok")))</f>
        <v/>
      </c>
    </row>
    <row r="118" customFormat="false" ht="15" hidden="false" customHeight="false" outlineLevel="0" collapsed="false">
      <c r="A118" s="9"/>
      <c r="B118" s="9"/>
      <c r="C118" s="9"/>
      <c r="D118" s="10" t="str">
        <f aca="false">IF(A118="","",IF(B118="","Give the reverse a name",IF(SUMPRODUCT(--EXACT($A$2:$A$201,A118))&gt;1,"Duplicate","ok")))</f>
        <v/>
      </c>
    </row>
    <row r="119" customFormat="false" ht="15" hidden="false" customHeight="false" outlineLevel="0" collapsed="false">
      <c r="A119" s="9"/>
      <c r="B119" s="9"/>
      <c r="C119" s="9"/>
      <c r="D119" s="10" t="str">
        <f aca="false">IF(A119="","",IF(B119="","Give the reverse a name",IF(SUMPRODUCT(--EXACT($A$2:$A$201,A119))&gt;1,"Duplicate","ok")))</f>
        <v/>
      </c>
    </row>
    <row r="120" customFormat="false" ht="15" hidden="false" customHeight="false" outlineLevel="0" collapsed="false">
      <c r="A120" s="9"/>
      <c r="B120" s="9"/>
      <c r="C120" s="9"/>
      <c r="D120" s="10" t="str">
        <f aca="false">IF(A120="","",IF(B120="","Give the reverse a name",IF(SUMPRODUCT(--EXACT($A$2:$A$201,A120))&gt;1,"Duplicate","ok")))</f>
        <v/>
      </c>
    </row>
    <row r="121" customFormat="false" ht="15" hidden="false" customHeight="false" outlineLevel="0" collapsed="false">
      <c r="A121" s="9"/>
      <c r="B121" s="9"/>
      <c r="C121" s="9"/>
      <c r="D121" s="10" t="str">
        <f aca="false">IF(A121="","",IF(B121="","Give the reverse a name",IF(SUMPRODUCT(--EXACT($A$2:$A$201,A121))&gt;1,"Duplicate","ok")))</f>
        <v/>
      </c>
    </row>
    <row r="122" customFormat="false" ht="15" hidden="false" customHeight="false" outlineLevel="0" collapsed="false">
      <c r="A122" s="9"/>
      <c r="B122" s="9"/>
      <c r="C122" s="9"/>
      <c r="D122" s="10" t="str">
        <f aca="false">IF(A122="","",IF(B122="","Give the reverse a name",IF(SUMPRODUCT(--EXACT($A$2:$A$201,A122))&gt;1,"Duplicate","ok")))</f>
        <v/>
      </c>
    </row>
    <row r="123" customFormat="false" ht="15" hidden="false" customHeight="false" outlineLevel="0" collapsed="false">
      <c r="A123" s="9"/>
      <c r="B123" s="9"/>
      <c r="C123" s="9"/>
      <c r="D123" s="10" t="str">
        <f aca="false">IF(A123="","",IF(B123="","Give the reverse a name",IF(SUMPRODUCT(--EXACT($A$2:$A$201,A123))&gt;1,"Duplicate","ok")))</f>
        <v/>
      </c>
    </row>
    <row r="124" customFormat="false" ht="15" hidden="false" customHeight="false" outlineLevel="0" collapsed="false">
      <c r="A124" s="9"/>
      <c r="B124" s="9"/>
      <c r="C124" s="9"/>
      <c r="D124" s="10" t="str">
        <f aca="false">IF(A124="","",IF(B124="","Give the reverse a name",IF(SUMPRODUCT(--EXACT($A$2:$A$201,A124))&gt;1,"Duplicate","ok")))</f>
        <v/>
      </c>
    </row>
    <row r="125" customFormat="false" ht="15" hidden="false" customHeight="false" outlineLevel="0" collapsed="false">
      <c r="A125" s="9"/>
      <c r="B125" s="9"/>
      <c r="C125" s="9"/>
      <c r="D125" s="10" t="str">
        <f aca="false">IF(A125="","",IF(B125="","Give the reverse a name",IF(SUMPRODUCT(--EXACT($A$2:$A$201,A125))&gt;1,"Duplicate","ok")))</f>
        <v/>
      </c>
    </row>
    <row r="126" customFormat="false" ht="15" hidden="false" customHeight="false" outlineLevel="0" collapsed="false">
      <c r="A126" s="9"/>
      <c r="B126" s="9"/>
      <c r="C126" s="9"/>
      <c r="D126" s="10" t="str">
        <f aca="false">IF(A126="","",IF(B126="","Give the reverse a name",IF(SUMPRODUCT(--EXACT($A$2:$A$201,A126))&gt;1,"Duplicate","ok")))</f>
        <v/>
      </c>
    </row>
    <row r="127" customFormat="false" ht="15" hidden="false" customHeight="false" outlineLevel="0" collapsed="false">
      <c r="A127" s="9"/>
      <c r="B127" s="9"/>
      <c r="C127" s="9"/>
      <c r="D127" s="10" t="str">
        <f aca="false">IF(A127="","",IF(B127="","Give the reverse a name",IF(SUMPRODUCT(--EXACT($A$2:$A$201,A127))&gt;1,"Duplicate","ok")))</f>
        <v/>
      </c>
    </row>
    <row r="128" customFormat="false" ht="15" hidden="false" customHeight="false" outlineLevel="0" collapsed="false">
      <c r="A128" s="9"/>
      <c r="B128" s="9"/>
      <c r="C128" s="9"/>
      <c r="D128" s="10" t="str">
        <f aca="false">IF(A128="","",IF(B128="","Give the reverse a name",IF(SUMPRODUCT(--EXACT($A$2:$A$201,A128))&gt;1,"Duplicate","ok")))</f>
        <v/>
      </c>
    </row>
    <row r="129" customFormat="false" ht="15" hidden="false" customHeight="false" outlineLevel="0" collapsed="false">
      <c r="A129" s="9"/>
      <c r="B129" s="9"/>
      <c r="C129" s="9"/>
      <c r="D129" s="10" t="str">
        <f aca="false">IF(A129="","",IF(B129="","Give the reverse a name",IF(SUMPRODUCT(--EXACT($A$2:$A$201,A129))&gt;1,"Duplicate","ok")))</f>
        <v/>
      </c>
    </row>
    <row r="130" customFormat="false" ht="15" hidden="false" customHeight="false" outlineLevel="0" collapsed="false">
      <c r="A130" s="9"/>
      <c r="B130" s="9"/>
      <c r="C130" s="9"/>
      <c r="D130" s="10" t="str">
        <f aca="false">IF(A130="","",IF(B130="","Give the reverse a name",IF(SUMPRODUCT(--EXACT($A$2:$A$201,A130))&gt;1,"Duplicate","ok")))</f>
        <v/>
      </c>
    </row>
    <row r="131" customFormat="false" ht="15" hidden="false" customHeight="false" outlineLevel="0" collapsed="false">
      <c r="A131" s="9"/>
      <c r="B131" s="9"/>
      <c r="C131" s="9"/>
      <c r="D131" s="10" t="str">
        <f aca="false">IF(A131="","",IF(B131="","Give the reverse a name",IF(SUMPRODUCT(--EXACT($A$2:$A$201,A131))&gt;1,"Duplicate","ok")))</f>
        <v/>
      </c>
    </row>
    <row r="132" customFormat="false" ht="15" hidden="false" customHeight="false" outlineLevel="0" collapsed="false">
      <c r="A132" s="9"/>
      <c r="B132" s="9"/>
      <c r="C132" s="9"/>
      <c r="D132" s="10" t="str">
        <f aca="false">IF(A132="","",IF(B132="","Give the reverse a name",IF(SUMPRODUCT(--EXACT($A$2:$A$201,A132))&gt;1,"Duplicate","ok")))</f>
        <v/>
      </c>
    </row>
    <row r="133" customFormat="false" ht="15" hidden="false" customHeight="false" outlineLevel="0" collapsed="false">
      <c r="A133" s="9"/>
      <c r="B133" s="9"/>
      <c r="C133" s="9"/>
      <c r="D133" s="10" t="str">
        <f aca="false">IF(A133="","",IF(B133="","Give the reverse a name",IF(SUMPRODUCT(--EXACT($A$2:$A$201,A133))&gt;1,"Duplicate","ok")))</f>
        <v/>
      </c>
    </row>
    <row r="134" customFormat="false" ht="15" hidden="false" customHeight="false" outlineLevel="0" collapsed="false">
      <c r="A134" s="9"/>
      <c r="B134" s="9"/>
      <c r="C134" s="9"/>
      <c r="D134" s="10" t="str">
        <f aca="false">IF(A134="","",IF(B134="","Give the reverse a name",IF(SUMPRODUCT(--EXACT($A$2:$A$201,A134))&gt;1,"Duplicate","ok")))</f>
        <v/>
      </c>
    </row>
    <row r="135" customFormat="false" ht="15" hidden="false" customHeight="false" outlineLevel="0" collapsed="false">
      <c r="A135" s="9"/>
      <c r="B135" s="9"/>
      <c r="C135" s="9"/>
      <c r="D135" s="10" t="str">
        <f aca="false">IF(A135="","",IF(B135="","Give the reverse a name",IF(SUMPRODUCT(--EXACT($A$2:$A$201,A135))&gt;1,"Duplicate","ok")))</f>
        <v/>
      </c>
    </row>
    <row r="136" customFormat="false" ht="15" hidden="false" customHeight="false" outlineLevel="0" collapsed="false">
      <c r="A136" s="9"/>
      <c r="B136" s="9"/>
      <c r="C136" s="9"/>
      <c r="D136" s="10" t="str">
        <f aca="false">IF(A136="","",IF(B136="","Give the reverse a name",IF(SUMPRODUCT(--EXACT($A$2:$A$201,A136))&gt;1,"Duplicate","ok")))</f>
        <v/>
      </c>
    </row>
    <row r="137" customFormat="false" ht="15" hidden="false" customHeight="false" outlineLevel="0" collapsed="false">
      <c r="A137" s="9"/>
      <c r="B137" s="9"/>
      <c r="C137" s="9"/>
      <c r="D137" s="10" t="str">
        <f aca="false">IF(A137="","",IF(B137="","Give the reverse a name",IF(SUMPRODUCT(--EXACT($A$2:$A$201,A137))&gt;1,"Duplicate","ok")))</f>
        <v/>
      </c>
    </row>
    <row r="138" customFormat="false" ht="15" hidden="false" customHeight="false" outlineLevel="0" collapsed="false">
      <c r="A138" s="9"/>
      <c r="B138" s="9"/>
      <c r="C138" s="9"/>
      <c r="D138" s="10" t="str">
        <f aca="false">IF(A138="","",IF(B138="","Give the reverse a name",IF(SUMPRODUCT(--EXACT($A$2:$A$201,A138))&gt;1,"Duplicate","ok")))</f>
        <v/>
      </c>
    </row>
    <row r="139" customFormat="false" ht="15" hidden="false" customHeight="false" outlineLevel="0" collapsed="false">
      <c r="A139" s="9"/>
      <c r="B139" s="9"/>
      <c r="C139" s="9"/>
      <c r="D139" s="10" t="str">
        <f aca="false">IF(A139="","",IF(B139="","Give the reverse a name",IF(SUMPRODUCT(--EXACT($A$2:$A$201,A139))&gt;1,"Duplicate","ok")))</f>
        <v/>
      </c>
    </row>
    <row r="140" customFormat="false" ht="15" hidden="false" customHeight="false" outlineLevel="0" collapsed="false">
      <c r="A140" s="9"/>
      <c r="B140" s="9"/>
      <c r="C140" s="9"/>
      <c r="D140" s="10" t="str">
        <f aca="false">IF(A140="","",IF(B140="","Give the reverse a name",IF(SUMPRODUCT(--EXACT($A$2:$A$201,A140))&gt;1,"Duplicate","ok")))</f>
        <v/>
      </c>
    </row>
    <row r="141" customFormat="false" ht="15" hidden="false" customHeight="false" outlineLevel="0" collapsed="false">
      <c r="A141" s="9"/>
      <c r="B141" s="9"/>
      <c r="C141" s="9"/>
      <c r="D141" s="10" t="str">
        <f aca="false">IF(A141="","",IF(B141="","Give the reverse a name",IF(SUMPRODUCT(--EXACT($A$2:$A$201,A141))&gt;1,"Duplicate","ok")))</f>
        <v/>
      </c>
    </row>
    <row r="142" customFormat="false" ht="15" hidden="false" customHeight="false" outlineLevel="0" collapsed="false">
      <c r="A142" s="9"/>
      <c r="B142" s="9"/>
      <c r="C142" s="9"/>
      <c r="D142" s="10" t="str">
        <f aca="false">IF(A142="","",IF(B142="","Give the reverse a name",IF(SUMPRODUCT(--EXACT($A$2:$A$201,A142))&gt;1,"Duplicate","ok")))</f>
        <v/>
      </c>
    </row>
    <row r="143" customFormat="false" ht="15" hidden="false" customHeight="false" outlineLevel="0" collapsed="false">
      <c r="A143" s="9"/>
      <c r="B143" s="9"/>
      <c r="C143" s="9"/>
      <c r="D143" s="10" t="str">
        <f aca="false">IF(A143="","",IF(B143="","Give the reverse a name",IF(SUMPRODUCT(--EXACT($A$2:$A$201,A143))&gt;1,"Duplicate","ok")))</f>
        <v/>
      </c>
    </row>
    <row r="144" customFormat="false" ht="15" hidden="false" customHeight="false" outlineLevel="0" collapsed="false">
      <c r="A144" s="9"/>
      <c r="B144" s="9"/>
      <c r="C144" s="9"/>
      <c r="D144" s="10" t="str">
        <f aca="false">IF(A144="","",IF(B144="","Give the reverse a name",IF(SUMPRODUCT(--EXACT($A$2:$A$201,A144))&gt;1,"Duplicate","ok")))</f>
        <v/>
      </c>
    </row>
    <row r="145" customFormat="false" ht="15" hidden="false" customHeight="false" outlineLevel="0" collapsed="false">
      <c r="A145" s="9"/>
      <c r="B145" s="9"/>
      <c r="C145" s="9"/>
      <c r="D145" s="10" t="str">
        <f aca="false">IF(A145="","",IF(B145="","Give the reverse a name",IF(SUMPRODUCT(--EXACT($A$2:$A$201,A145))&gt;1,"Duplicate","ok")))</f>
        <v/>
      </c>
    </row>
    <row r="146" customFormat="false" ht="15" hidden="false" customHeight="false" outlineLevel="0" collapsed="false">
      <c r="A146" s="9"/>
      <c r="B146" s="9"/>
      <c r="C146" s="9"/>
      <c r="D146" s="10" t="str">
        <f aca="false">IF(A146="","",IF(B146="","Give the reverse a name",IF(SUMPRODUCT(--EXACT($A$2:$A$201,A146))&gt;1,"Duplicate","ok")))</f>
        <v/>
      </c>
    </row>
    <row r="147" customFormat="false" ht="15" hidden="false" customHeight="false" outlineLevel="0" collapsed="false">
      <c r="A147" s="9"/>
      <c r="B147" s="9"/>
      <c r="C147" s="9"/>
      <c r="D147" s="10" t="str">
        <f aca="false">IF(A147="","",IF(B147="","Give the reverse a name",IF(SUMPRODUCT(--EXACT($A$2:$A$201,A147))&gt;1,"Duplicate","ok")))</f>
        <v/>
      </c>
    </row>
    <row r="148" customFormat="false" ht="15" hidden="false" customHeight="false" outlineLevel="0" collapsed="false">
      <c r="A148" s="9"/>
      <c r="B148" s="9"/>
      <c r="C148" s="9"/>
      <c r="D148" s="10" t="str">
        <f aca="false">IF(A148="","",IF(B148="","Give the reverse a name",IF(SUMPRODUCT(--EXACT($A$2:$A$201,A148))&gt;1,"Duplicate","ok")))</f>
        <v/>
      </c>
    </row>
    <row r="149" customFormat="false" ht="15" hidden="false" customHeight="false" outlineLevel="0" collapsed="false">
      <c r="A149" s="9"/>
      <c r="B149" s="9"/>
      <c r="C149" s="9"/>
      <c r="D149" s="10" t="str">
        <f aca="false">IF(A149="","",IF(B149="","Give the reverse a name",IF(SUMPRODUCT(--EXACT($A$2:$A$201,A149))&gt;1,"Duplicate","ok")))</f>
        <v/>
      </c>
    </row>
    <row r="150" customFormat="false" ht="15" hidden="false" customHeight="false" outlineLevel="0" collapsed="false">
      <c r="A150" s="9"/>
      <c r="B150" s="9"/>
      <c r="C150" s="9"/>
      <c r="D150" s="10" t="str">
        <f aca="false">IF(A150="","",IF(B150="","Give the reverse a name",IF(SUMPRODUCT(--EXACT($A$2:$A$201,A150))&gt;1,"Duplicate","ok")))</f>
        <v/>
      </c>
    </row>
    <row r="151" customFormat="false" ht="15" hidden="false" customHeight="false" outlineLevel="0" collapsed="false">
      <c r="A151" s="9"/>
      <c r="B151" s="9"/>
      <c r="C151" s="9"/>
      <c r="D151" s="10" t="str">
        <f aca="false">IF(A151="","",IF(B151="","Give the reverse a name",IF(SUMPRODUCT(--EXACT($A$2:$A$201,A151))&gt;1,"Duplicate","ok")))</f>
        <v/>
      </c>
    </row>
    <row r="152" customFormat="false" ht="15" hidden="false" customHeight="false" outlineLevel="0" collapsed="false">
      <c r="A152" s="9"/>
      <c r="B152" s="9"/>
      <c r="C152" s="9"/>
      <c r="D152" s="10" t="str">
        <f aca="false">IF(A152="","",IF(B152="","Give the reverse a name",IF(SUMPRODUCT(--EXACT($A$2:$A$201,A152))&gt;1,"Duplicate","ok")))</f>
        <v/>
      </c>
    </row>
    <row r="153" customFormat="false" ht="15" hidden="false" customHeight="false" outlineLevel="0" collapsed="false">
      <c r="A153" s="9"/>
      <c r="B153" s="9"/>
      <c r="C153" s="9"/>
      <c r="D153" s="10" t="str">
        <f aca="false">IF(A153="","",IF(B153="","Give the reverse a name",IF(SUMPRODUCT(--EXACT($A$2:$A$201,A153))&gt;1,"Duplicate","ok")))</f>
        <v/>
      </c>
    </row>
    <row r="154" customFormat="false" ht="15" hidden="false" customHeight="false" outlineLevel="0" collapsed="false">
      <c r="A154" s="9"/>
      <c r="B154" s="9"/>
      <c r="C154" s="9"/>
      <c r="D154" s="10" t="str">
        <f aca="false">IF(A154="","",IF(B154="","Give the reverse a name",IF(SUMPRODUCT(--EXACT($A$2:$A$201,A154))&gt;1,"Duplicate","ok")))</f>
        <v/>
      </c>
    </row>
    <row r="155" customFormat="false" ht="15" hidden="false" customHeight="false" outlineLevel="0" collapsed="false">
      <c r="A155" s="9"/>
      <c r="B155" s="9"/>
      <c r="C155" s="9"/>
      <c r="D155" s="10" t="str">
        <f aca="false">IF(A155="","",IF(B155="","Give the reverse a name",IF(SUMPRODUCT(--EXACT($A$2:$A$201,A155))&gt;1,"Duplicate","ok")))</f>
        <v/>
      </c>
    </row>
    <row r="156" customFormat="false" ht="15" hidden="false" customHeight="false" outlineLevel="0" collapsed="false">
      <c r="A156" s="9"/>
      <c r="B156" s="9"/>
      <c r="C156" s="9"/>
      <c r="D156" s="10" t="str">
        <f aca="false">IF(A156="","",IF(B156="","Give the reverse a name",IF(SUMPRODUCT(--EXACT($A$2:$A$201,A156))&gt;1,"Duplicate","ok")))</f>
        <v/>
      </c>
    </row>
    <row r="157" customFormat="false" ht="15" hidden="false" customHeight="false" outlineLevel="0" collapsed="false">
      <c r="A157" s="9"/>
      <c r="B157" s="9"/>
      <c r="C157" s="9"/>
      <c r="D157" s="10" t="str">
        <f aca="false">IF(A157="","",IF(B157="","Give the reverse a name",IF(SUMPRODUCT(--EXACT($A$2:$A$201,A157))&gt;1,"Duplicate","ok")))</f>
        <v/>
      </c>
    </row>
    <row r="158" customFormat="false" ht="15" hidden="false" customHeight="false" outlineLevel="0" collapsed="false">
      <c r="A158" s="9"/>
      <c r="B158" s="9"/>
      <c r="C158" s="9"/>
      <c r="D158" s="10" t="str">
        <f aca="false">IF(A158="","",IF(B158="","Give the reverse a name",IF(SUMPRODUCT(--EXACT($A$2:$A$201,A158))&gt;1,"Duplicate","ok")))</f>
        <v/>
      </c>
    </row>
    <row r="159" customFormat="false" ht="15" hidden="false" customHeight="false" outlineLevel="0" collapsed="false">
      <c r="A159" s="9"/>
      <c r="B159" s="9"/>
      <c r="C159" s="9"/>
      <c r="D159" s="10" t="str">
        <f aca="false">IF(A159="","",IF(B159="","Give the reverse a name",IF(SUMPRODUCT(--EXACT($A$2:$A$201,A159))&gt;1,"Duplicate","ok")))</f>
        <v/>
      </c>
    </row>
    <row r="160" customFormat="false" ht="15" hidden="false" customHeight="false" outlineLevel="0" collapsed="false">
      <c r="A160" s="9"/>
      <c r="B160" s="9"/>
      <c r="C160" s="9"/>
      <c r="D160" s="10" t="str">
        <f aca="false">IF(A160="","",IF(B160="","Give the reverse a name",IF(SUMPRODUCT(--EXACT($A$2:$A$201,A160))&gt;1,"Duplicate","ok")))</f>
        <v/>
      </c>
    </row>
    <row r="161" customFormat="false" ht="15" hidden="false" customHeight="false" outlineLevel="0" collapsed="false">
      <c r="A161" s="9"/>
      <c r="B161" s="9"/>
      <c r="C161" s="9"/>
      <c r="D161" s="10" t="str">
        <f aca="false">IF(A161="","",IF(B161="","Give the reverse a name",IF(SUMPRODUCT(--EXACT($A$2:$A$201,A161))&gt;1,"Duplicate","ok")))</f>
        <v/>
      </c>
    </row>
    <row r="162" customFormat="false" ht="15" hidden="false" customHeight="false" outlineLevel="0" collapsed="false">
      <c r="A162" s="9"/>
      <c r="B162" s="9"/>
      <c r="C162" s="9"/>
      <c r="D162" s="10" t="str">
        <f aca="false">IF(A162="","",IF(B162="","Give the reverse a name",IF(SUMPRODUCT(--EXACT($A$2:$A$201,A162))&gt;1,"Duplicate","ok")))</f>
        <v/>
      </c>
    </row>
    <row r="163" customFormat="false" ht="15" hidden="false" customHeight="false" outlineLevel="0" collapsed="false">
      <c r="A163" s="9"/>
      <c r="B163" s="9"/>
      <c r="C163" s="9"/>
      <c r="D163" s="10" t="str">
        <f aca="false">IF(A163="","",IF(B163="","Give the reverse a name",IF(SUMPRODUCT(--EXACT($A$2:$A$201,A163))&gt;1,"Duplicate","ok")))</f>
        <v/>
      </c>
    </row>
    <row r="164" customFormat="false" ht="15" hidden="false" customHeight="false" outlineLevel="0" collapsed="false">
      <c r="A164" s="9"/>
      <c r="B164" s="9"/>
      <c r="C164" s="9"/>
      <c r="D164" s="10" t="str">
        <f aca="false">IF(A164="","",IF(B164="","Give the reverse a name",IF(SUMPRODUCT(--EXACT($A$2:$A$201,A164))&gt;1,"Duplicate","ok")))</f>
        <v/>
      </c>
    </row>
    <row r="165" customFormat="false" ht="15" hidden="false" customHeight="false" outlineLevel="0" collapsed="false">
      <c r="A165" s="9"/>
      <c r="B165" s="9"/>
      <c r="C165" s="9"/>
      <c r="D165" s="10" t="str">
        <f aca="false">IF(A165="","",IF(B165="","Give the reverse a name",IF(SUMPRODUCT(--EXACT($A$2:$A$201,A165))&gt;1,"Duplicate","ok")))</f>
        <v/>
      </c>
    </row>
    <row r="166" customFormat="false" ht="15" hidden="false" customHeight="false" outlineLevel="0" collapsed="false">
      <c r="A166" s="9"/>
      <c r="B166" s="9"/>
      <c r="C166" s="9"/>
      <c r="D166" s="10" t="str">
        <f aca="false">IF(A166="","",IF(B166="","Give the reverse a name",IF(SUMPRODUCT(--EXACT($A$2:$A$201,A166))&gt;1,"Duplicate","ok")))</f>
        <v/>
      </c>
    </row>
    <row r="167" customFormat="false" ht="15" hidden="false" customHeight="false" outlineLevel="0" collapsed="false">
      <c r="A167" s="9"/>
      <c r="B167" s="9"/>
      <c r="C167" s="9"/>
      <c r="D167" s="10" t="str">
        <f aca="false">IF(A167="","",IF(B167="","Give the reverse a name",IF(SUMPRODUCT(--EXACT($A$2:$A$201,A167))&gt;1,"Duplicate","ok")))</f>
        <v/>
      </c>
    </row>
    <row r="168" customFormat="false" ht="15" hidden="false" customHeight="false" outlineLevel="0" collapsed="false">
      <c r="A168" s="9"/>
      <c r="B168" s="9"/>
      <c r="C168" s="9"/>
      <c r="D168" s="10" t="str">
        <f aca="false">IF(A168="","",IF(B168="","Give the reverse a name",IF(SUMPRODUCT(--EXACT($A$2:$A$201,A168))&gt;1,"Duplicate","ok")))</f>
        <v/>
      </c>
    </row>
    <row r="169" customFormat="false" ht="15" hidden="false" customHeight="false" outlineLevel="0" collapsed="false">
      <c r="A169" s="9"/>
      <c r="B169" s="9"/>
      <c r="C169" s="9"/>
      <c r="D169" s="10" t="str">
        <f aca="false">IF(A169="","",IF(B169="","Give the reverse a name",IF(SUMPRODUCT(--EXACT($A$2:$A$201,A169))&gt;1,"Duplicate","ok")))</f>
        <v/>
      </c>
    </row>
    <row r="170" customFormat="false" ht="15" hidden="false" customHeight="false" outlineLevel="0" collapsed="false">
      <c r="A170" s="9"/>
      <c r="B170" s="9"/>
      <c r="C170" s="9"/>
      <c r="D170" s="10" t="str">
        <f aca="false">IF(A170="","",IF(B170="","Give the reverse a name",IF(SUMPRODUCT(--EXACT($A$2:$A$201,A170))&gt;1,"Duplicate","ok")))</f>
        <v/>
      </c>
    </row>
    <row r="171" customFormat="false" ht="15" hidden="false" customHeight="false" outlineLevel="0" collapsed="false">
      <c r="A171" s="9"/>
      <c r="B171" s="9"/>
      <c r="C171" s="9"/>
      <c r="D171" s="10" t="str">
        <f aca="false">IF(A171="","",IF(B171="","Give the reverse a name",IF(SUMPRODUCT(--EXACT($A$2:$A$201,A171))&gt;1,"Duplicate","ok")))</f>
        <v/>
      </c>
    </row>
    <row r="172" customFormat="false" ht="15" hidden="false" customHeight="false" outlineLevel="0" collapsed="false">
      <c r="A172" s="9"/>
      <c r="B172" s="9"/>
      <c r="C172" s="9"/>
      <c r="D172" s="10" t="str">
        <f aca="false">IF(A172="","",IF(B172="","Give the reverse a name",IF(SUMPRODUCT(--EXACT($A$2:$A$201,A172))&gt;1,"Duplicate","ok")))</f>
        <v/>
      </c>
    </row>
    <row r="173" customFormat="false" ht="15" hidden="false" customHeight="false" outlineLevel="0" collapsed="false">
      <c r="A173" s="9"/>
      <c r="B173" s="9"/>
      <c r="C173" s="9"/>
      <c r="D173" s="10" t="str">
        <f aca="false">IF(A173="","",IF(B173="","Give the reverse a name",IF(SUMPRODUCT(--EXACT($A$2:$A$201,A173))&gt;1,"Duplicate","ok")))</f>
        <v/>
      </c>
    </row>
    <row r="174" customFormat="false" ht="15" hidden="false" customHeight="false" outlineLevel="0" collapsed="false">
      <c r="A174" s="9"/>
      <c r="B174" s="9"/>
      <c r="C174" s="9"/>
      <c r="D174" s="10" t="str">
        <f aca="false">IF(A174="","",IF(B174="","Give the reverse a name",IF(SUMPRODUCT(--EXACT($A$2:$A$201,A174))&gt;1,"Duplicate","ok")))</f>
        <v/>
      </c>
    </row>
    <row r="175" customFormat="false" ht="15" hidden="false" customHeight="false" outlineLevel="0" collapsed="false">
      <c r="A175" s="9"/>
      <c r="B175" s="9"/>
      <c r="C175" s="9"/>
      <c r="D175" s="10" t="str">
        <f aca="false">IF(A175="","",IF(B175="","Give the reverse a name",IF(SUMPRODUCT(--EXACT($A$2:$A$201,A175))&gt;1,"Duplicate","ok")))</f>
        <v/>
      </c>
    </row>
    <row r="176" customFormat="false" ht="15" hidden="false" customHeight="false" outlineLevel="0" collapsed="false">
      <c r="A176" s="9"/>
      <c r="B176" s="9"/>
      <c r="C176" s="9"/>
      <c r="D176" s="10" t="str">
        <f aca="false">IF(A176="","",IF(B176="","Give the reverse a name",IF(SUMPRODUCT(--EXACT($A$2:$A$201,A176))&gt;1,"Duplicate","ok")))</f>
        <v/>
      </c>
    </row>
    <row r="177" customFormat="false" ht="15" hidden="false" customHeight="false" outlineLevel="0" collapsed="false">
      <c r="A177" s="9"/>
      <c r="B177" s="9"/>
      <c r="C177" s="9"/>
      <c r="D177" s="10" t="str">
        <f aca="false">IF(A177="","",IF(B177="","Give the reverse a name",IF(SUMPRODUCT(--EXACT($A$2:$A$201,A177))&gt;1,"Duplicate","ok")))</f>
        <v/>
      </c>
    </row>
    <row r="178" customFormat="false" ht="15" hidden="false" customHeight="false" outlineLevel="0" collapsed="false">
      <c r="A178" s="9"/>
      <c r="B178" s="9"/>
      <c r="C178" s="9"/>
      <c r="D178" s="10" t="str">
        <f aca="false">IF(A178="","",IF(B178="","Give the reverse a name",IF(SUMPRODUCT(--EXACT($A$2:$A$201,A178))&gt;1,"Duplicate","ok")))</f>
        <v/>
      </c>
    </row>
    <row r="179" customFormat="false" ht="15" hidden="false" customHeight="false" outlineLevel="0" collapsed="false">
      <c r="A179" s="9"/>
      <c r="B179" s="9"/>
      <c r="C179" s="9"/>
      <c r="D179" s="10" t="str">
        <f aca="false">IF(A179="","",IF(B179="","Give the reverse a name",IF(SUMPRODUCT(--EXACT($A$2:$A$201,A179))&gt;1,"Duplicate","ok")))</f>
        <v/>
      </c>
    </row>
    <row r="180" customFormat="false" ht="15" hidden="false" customHeight="false" outlineLevel="0" collapsed="false">
      <c r="A180" s="9"/>
      <c r="B180" s="9"/>
      <c r="C180" s="9"/>
      <c r="D180" s="10" t="str">
        <f aca="false">IF(A180="","",IF(B180="","Give the reverse a name",IF(SUMPRODUCT(--EXACT($A$2:$A$201,A180))&gt;1,"Duplicate","ok")))</f>
        <v/>
      </c>
    </row>
    <row r="181" customFormat="false" ht="15" hidden="false" customHeight="false" outlineLevel="0" collapsed="false">
      <c r="A181" s="9"/>
      <c r="B181" s="9"/>
      <c r="C181" s="9"/>
      <c r="D181" s="10" t="str">
        <f aca="false">IF(A181="","",IF(B181="","Give the reverse a name",IF(SUMPRODUCT(--EXACT($A$2:$A$201,A181))&gt;1,"Duplicate","ok")))</f>
        <v/>
      </c>
    </row>
    <row r="182" customFormat="false" ht="15" hidden="false" customHeight="false" outlineLevel="0" collapsed="false">
      <c r="A182" s="9"/>
      <c r="B182" s="9"/>
      <c r="C182" s="9"/>
      <c r="D182" s="10" t="str">
        <f aca="false">IF(A182="","",IF(B182="","Give the reverse a name",IF(SUMPRODUCT(--EXACT($A$2:$A$201,A182))&gt;1,"Duplicate","ok")))</f>
        <v/>
      </c>
    </row>
    <row r="183" customFormat="false" ht="15" hidden="false" customHeight="false" outlineLevel="0" collapsed="false">
      <c r="A183" s="9"/>
      <c r="B183" s="9"/>
      <c r="C183" s="9"/>
      <c r="D183" s="10" t="str">
        <f aca="false">IF(A183="","",IF(B183="","Give the reverse a name",IF(SUMPRODUCT(--EXACT($A$2:$A$201,A183))&gt;1,"Duplicate","ok")))</f>
        <v/>
      </c>
    </row>
    <row r="184" customFormat="false" ht="15" hidden="false" customHeight="false" outlineLevel="0" collapsed="false">
      <c r="A184" s="9"/>
      <c r="B184" s="9"/>
      <c r="C184" s="9"/>
      <c r="D184" s="10" t="str">
        <f aca="false">IF(A184="","",IF(B184="","Give the reverse a name",IF(SUMPRODUCT(--EXACT($A$2:$A$201,A184))&gt;1,"Duplicate","ok")))</f>
        <v/>
      </c>
    </row>
    <row r="185" customFormat="false" ht="15" hidden="false" customHeight="false" outlineLevel="0" collapsed="false">
      <c r="A185" s="9"/>
      <c r="B185" s="9"/>
      <c r="C185" s="9"/>
      <c r="D185" s="10" t="str">
        <f aca="false">IF(A185="","",IF(B185="","Give the reverse a name",IF(SUMPRODUCT(--EXACT($A$2:$A$201,A185))&gt;1,"Duplicate","ok")))</f>
        <v/>
      </c>
    </row>
    <row r="186" customFormat="false" ht="15" hidden="false" customHeight="false" outlineLevel="0" collapsed="false">
      <c r="A186" s="9"/>
      <c r="B186" s="9"/>
      <c r="C186" s="9"/>
      <c r="D186" s="10" t="str">
        <f aca="false">IF(A186="","",IF(B186="","Give the reverse a name",IF(SUMPRODUCT(--EXACT($A$2:$A$201,A186))&gt;1,"Duplicate","ok")))</f>
        <v/>
      </c>
    </row>
    <row r="187" customFormat="false" ht="15" hidden="false" customHeight="false" outlineLevel="0" collapsed="false">
      <c r="A187" s="9"/>
      <c r="B187" s="9"/>
      <c r="C187" s="9"/>
      <c r="D187" s="10" t="str">
        <f aca="false">IF(A187="","",IF(B187="","Give the reverse a name",IF(SUMPRODUCT(--EXACT($A$2:$A$201,A187))&gt;1,"Duplicate","ok")))</f>
        <v/>
      </c>
    </row>
    <row r="188" customFormat="false" ht="15" hidden="false" customHeight="false" outlineLevel="0" collapsed="false">
      <c r="A188" s="9"/>
      <c r="B188" s="9"/>
      <c r="C188" s="9"/>
      <c r="D188" s="10" t="str">
        <f aca="false">IF(A188="","",IF(B188="","Give the reverse a name",IF(SUMPRODUCT(--EXACT($A$2:$A$201,A188))&gt;1,"Duplicate","ok")))</f>
        <v/>
      </c>
    </row>
    <row r="189" customFormat="false" ht="15" hidden="false" customHeight="false" outlineLevel="0" collapsed="false">
      <c r="A189" s="9"/>
      <c r="B189" s="9"/>
      <c r="C189" s="9"/>
      <c r="D189" s="10" t="str">
        <f aca="false">IF(A189="","",IF(B189="","Give the reverse a name",IF(SUMPRODUCT(--EXACT($A$2:$A$201,A189))&gt;1,"Duplicate","ok")))</f>
        <v/>
      </c>
    </row>
    <row r="190" customFormat="false" ht="15" hidden="false" customHeight="false" outlineLevel="0" collapsed="false">
      <c r="A190" s="9"/>
      <c r="B190" s="9"/>
      <c r="C190" s="9"/>
      <c r="D190" s="10" t="str">
        <f aca="false">IF(A190="","",IF(B190="","Give the reverse a name",IF(SUMPRODUCT(--EXACT($A$2:$A$201,A190))&gt;1,"Duplicate","ok")))</f>
        <v/>
      </c>
    </row>
    <row r="191" customFormat="false" ht="15" hidden="false" customHeight="false" outlineLevel="0" collapsed="false">
      <c r="A191" s="9"/>
      <c r="B191" s="9"/>
      <c r="C191" s="9"/>
      <c r="D191" s="10" t="str">
        <f aca="false">IF(A191="","",IF(B191="","Give the reverse a name",IF(SUMPRODUCT(--EXACT($A$2:$A$201,A191))&gt;1,"Duplicate","ok")))</f>
        <v/>
      </c>
    </row>
    <row r="192" customFormat="false" ht="15" hidden="false" customHeight="false" outlineLevel="0" collapsed="false">
      <c r="A192" s="9"/>
      <c r="B192" s="9"/>
      <c r="C192" s="9"/>
      <c r="D192" s="10" t="str">
        <f aca="false">IF(A192="","",IF(B192="","Give the reverse a name",IF(SUMPRODUCT(--EXACT($A$2:$A$201,A192))&gt;1,"Duplicate","ok")))</f>
        <v/>
      </c>
    </row>
    <row r="193" customFormat="false" ht="15" hidden="false" customHeight="false" outlineLevel="0" collapsed="false">
      <c r="A193" s="9"/>
      <c r="B193" s="9"/>
      <c r="C193" s="9"/>
      <c r="D193" s="10" t="str">
        <f aca="false">IF(A193="","",IF(B193="","Give the reverse a name",IF(SUMPRODUCT(--EXACT($A$2:$A$201,A193))&gt;1,"Duplicate","ok")))</f>
        <v/>
      </c>
    </row>
    <row r="194" customFormat="false" ht="15" hidden="false" customHeight="false" outlineLevel="0" collapsed="false">
      <c r="A194" s="9"/>
      <c r="B194" s="9"/>
      <c r="C194" s="9"/>
      <c r="D194" s="10" t="str">
        <f aca="false">IF(A194="","",IF(B194="","Give the reverse a name",IF(SUMPRODUCT(--EXACT($A$2:$A$201,A194))&gt;1,"Duplicate","ok")))</f>
        <v/>
      </c>
    </row>
    <row r="195" customFormat="false" ht="15" hidden="false" customHeight="false" outlineLevel="0" collapsed="false">
      <c r="A195" s="9"/>
      <c r="B195" s="9"/>
      <c r="C195" s="9"/>
      <c r="D195" s="10" t="str">
        <f aca="false">IF(A195="","",IF(B195="","Give the reverse a name",IF(SUMPRODUCT(--EXACT($A$2:$A$201,A195))&gt;1,"Duplicate","ok")))</f>
        <v/>
      </c>
    </row>
    <row r="196" customFormat="false" ht="15" hidden="false" customHeight="false" outlineLevel="0" collapsed="false">
      <c r="A196" s="9"/>
      <c r="B196" s="9"/>
      <c r="C196" s="9"/>
      <c r="D196" s="10" t="str">
        <f aca="false">IF(A196="","",IF(B196="","Give the reverse a name",IF(SUMPRODUCT(--EXACT($A$2:$A$201,A196))&gt;1,"Duplicate","ok")))</f>
        <v/>
      </c>
    </row>
    <row r="197" customFormat="false" ht="15" hidden="false" customHeight="false" outlineLevel="0" collapsed="false">
      <c r="A197" s="9"/>
      <c r="B197" s="9"/>
      <c r="C197" s="9"/>
      <c r="D197" s="10" t="str">
        <f aca="false">IF(A197="","",IF(B197="","Give the reverse a name",IF(SUMPRODUCT(--EXACT($A$2:$A$201,A197))&gt;1,"Duplicate","ok")))</f>
        <v/>
      </c>
    </row>
    <row r="198" customFormat="false" ht="15" hidden="false" customHeight="false" outlineLevel="0" collapsed="false">
      <c r="A198" s="9"/>
      <c r="B198" s="9"/>
      <c r="C198" s="9"/>
      <c r="D198" s="10" t="str">
        <f aca="false">IF(A198="","",IF(B198="","Give the reverse a name",IF(SUMPRODUCT(--EXACT($A$2:$A$201,A198))&gt;1,"Duplicate","ok")))</f>
        <v/>
      </c>
    </row>
    <row r="199" customFormat="false" ht="15" hidden="false" customHeight="false" outlineLevel="0" collapsed="false">
      <c r="A199" s="9"/>
      <c r="B199" s="9"/>
      <c r="C199" s="9"/>
      <c r="D199" s="10" t="str">
        <f aca="false">IF(A199="","",IF(B199="","Give the reverse a name",IF(SUMPRODUCT(--EXACT($A$2:$A$201,A199))&gt;1,"Duplicate","ok")))</f>
        <v/>
      </c>
    </row>
    <row r="200" customFormat="false" ht="15" hidden="false" customHeight="false" outlineLevel="0" collapsed="false">
      <c r="A200" s="9"/>
      <c r="B200" s="9"/>
      <c r="C200" s="9"/>
      <c r="D200" s="10" t="str">
        <f aca="false">IF(A200="","",IF(B200="","Give the reverse a name",IF(SUMPRODUCT(--EXACT($A$2:$A$201,A200))&gt;1,"Duplicate","ok")))</f>
        <v/>
      </c>
    </row>
    <row r="201" customFormat="false" ht="15" hidden="false" customHeight="false" outlineLevel="0" collapsed="false">
      <c r="A201" s="9"/>
      <c r="B201" s="9"/>
      <c r="C201" s="9"/>
      <c r="D201" s="10" t="str">
        <f aca="false">IF(A201="","",IF(B201="","Give the reverse a name",IF(SUMPRODUCT(--EXACT($A$2:$A$201,A201))&gt;1,"Duplicate","ok")))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40"/>
    <col collapsed="false" customWidth="true" hidden="false" outlineLevel="1" max="13" min="8" style="0" width="16"/>
  </cols>
  <sheetData>
    <row r="1" customFormat="false" ht="31.5" hidden="false" customHeight="true" outlineLevel="0" collapsed="false">
      <c r="A1" s="8" t="s">
        <v>142</v>
      </c>
      <c r="B1" s="8" t="s">
        <v>143</v>
      </c>
      <c r="C1" s="8" t="s">
        <v>43</v>
      </c>
      <c r="D1" s="8" t="s">
        <v>144</v>
      </c>
      <c r="E1" s="8" t="s">
        <v>145</v>
      </c>
      <c r="F1" s="8" t="s">
        <v>146</v>
      </c>
      <c r="G1" s="8" t="s">
        <v>49</v>
      </c>
      <c r="H1" s="8" t="s">
        <v>147</v>
      </c>
      <c r="I1" s="8" t="s">
        <v>148</v>
      </c>
      <c r="J1" s="8" t="s">
        <v>149</v>
      </c>
      <c r="K1" s="8" t="s">
        <v>149</v>
      </c>
      <c r="L1" s="8" t="s">
        <v>150</v>
      </c>
      <c r="M1" s="8" t="s">
        <v>151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10" t="str">
        <f aca="false">IF(A2="","",IF(K2&lt;&gt;"",IFERROR(IF(INDEX($E$2:$E$201,MATCH(K2,$A$2:$A$201,0))="",K2,INDEX($E$2:$E$201,MATCH(K2,$A$2:$A$201,0))),K2)&amp;"/","")&amp;IF(J2&lt;&gt;"",IFERROR(IF(INDEX($E$2:$E$201,MATCH(J2,$A$2:$A$201,0))="",J2,INDEX($E$2:$E$201,MATCH(J2,$A$2:$A$201,0))),J2)&amp;"/","")&amp;IF(I2&lt;&gt;"",IFERROR(IF(INDEX($E$2:$E$201,MATCH(I2,$A$2:$A$201,0))="",I2,INDEX($E$2:$E$201,MATCH(I2,$A$2:$A$201,0))),I2)&amp;"/","")&amp;IF(H2&lt;&gt;"",IFERROR(IF(INDEX($E$2:$E$201,MATCH(H2,$A$2:$A$201,0))="",H2,INDEX($E$2:$E$201,MATCH(H2,$A$2:$A$201,0))),H2)&amp;"/","")&amp;IF(E2="",A2,E2))</f>
        <v/>
      </c>
      <c r="G2" s="10" t="str">
        <f aca="false">IF(A2="","",IF(SUMPRODUCT(--EXACT($A$2:$A$201,A2))&gt;1,"Duplicate ID",IF(SUMPRODUCT(--EXACT('1 Types'!$A$2:$A$201,C2))=0,"Type is not on the Types sheet",IF(AND(D2&lt;&gt;"",NOT(SUMPRODUCT(--EXACT($A$2:$A$201,D2))&gt;0)),"Parent is not an asset",IF(AND(D2="",IFERROR(INDEX('1 Types'!$E$2:$E$201,MATCH(C2,'1 Types'!$A$2:$A$201,0)),"")&lt;&gt;"yes"),"Needs a parent",IF(OR(L2&lt;&gt;"",H2=A2,I2=A2,J2=A2,K2=A2),"Parent loop, or more than five levels","ok"))))))</f>
        <v/>
      </c>
      <c r="H2" s="10" t="str">
        <f aca="false">IF(A2="","",D2)</f>
        <v/>
      </c>
      <c r="I2" s="10" t="str">
        <f aca="false">IF(H2="","",IFERROR(INDEX($D$2:$D$201,MATCH(H2,$A$2:$A$201,0)),""))</f>
        <v/>
      </c>
      <c r="J2" s="10" t="str">
        <f aca="false">IF(I2="","",IFERROR(INDEX($D$2:$D$201,MATCH(I2,$A$2:$A$201,0)),""))</f>
        <v/>
      </c>
      <c r="K2" s="10" t="str">
        <f aca="false">IF(J2="","",IFERROR(INDEX($D$2:$D$201,MATCH(J2,$A$2:$A$201,0)),""))</f>
        <v/>
      </c>
      <c r="L2" s="10" t="str">
        <f aca="false">IF(K2="","",IFERROR(INDEX($D$2:$D$201,MATCH(K2,$A$2:$A$201,0)),""))</f>
        <v/>
      </c>
      <c r="M2" s="10" t="str">
        <f aca="false">IF(A2="","",IF(K2&lt;&gt;"",K2,IF(J2&lt;&gt;"",J2,IF(I2&lt;&gt;"",I2,IF(H2&lt;&gt;"",H2,A2)))))</f>
        <v/>
      </c>
    </row>
    <row r="3" customFormat="false" ht="15" hidden="false" customHeight="false" outlineLevel="0" collapsed="false">
      <c r="A3" s="9"/>
      <c r="B3" s="9"/>
      <c r="C3" s="9"/>
      <c r="D3" s="9"/>
      <c r="E3" s="9"/>
      <c r="F3" s="10" t="str">
        <f aca="false">IF(A3="","",IF(K3&lt;&gt;"",IFERROR(IF(INDEX($E$2:$E$201,MATCH(K3,$A$2:$A$201,0))="",K3,INDEX($E$2:$E$201,MATCH(K3,$A$2:$A$201,0))),K3)&amp;"/","")&amp;IF(J3&lt;&gt;"",IFERROR(IF(INDEX($E$2:$E$201,MATCH(J3,$A$2:$A$201,0))="",J3,INDEX($E$2:$E$201,MATCH(J3,$A$2:$A$201,0))),J3)&amp;"/","")&amp;IF(I3&lt;&gt;"",IFERROR(IF(INDEX($E$2:$E$201,MATCH(I3,$A$2:$A$201,0))="",I3,INDEX($E$2:$E$201,MATCH(I3,$A$2:$A$201,0))),I3)&amp;"/","")&amp;IF(H3&lt;&gt;"",IFERROR(IF(INDEX($E$2:$E$201,MATCH(H3,$A$2:$A$201,0))="",H3,INDEX($E$2:$E$201,MATCH(H3,$A$2:$A$201,0))),H3)&amp;"/","")&amp;IF(E3="",A3,E3))</f>
        <v/>
      </c>
      <c r="G3" s="10" t="str">
        <f aca="false">IF(A3="","",IF(SUMPRODUCT(--EXACT($A$2:$A$201,A3))&gt;1,"Duplicate ID",IF(SUMPRODUCT(--EXACT('1 Types'!$A$2:$A$201,C3))=0,"Type is not on the Types sheet",IF(AND(D3&lt;&gt;"",NOT(SUMPRODUCT(--EXACT($A$2:$A$201,D3))&gt;0)),"Parent is not an asset",IF(AND(D3="",IFERROR(INDEX('1 Types'!$E$2:$E$201,MATCH(C3,'1 Types'!$A$2:$A$201,0)),"")&lt;&gt;"yes"),"Needs a parent",IF(OR(L3&lt;&gt;"",H3=A3,I3=A3,J3=A3,K3=A3),"Parent loop, or more than five levels","ok"))))))</f>
        <v/>
      </c>
      <c r="H3" s="10" t="str">
        <f aca="false">IF(A3="","",D3)</f>
        <v/>
      </c>
      <c r="I3" s="10" t="str">
        <f aca="false">IF(H3="","",IFERROR(INDEX($D$2:$D$201,MATCH(H3,$A$2:$A$201,0)),""))</f>
        <v/>
      </c>
      <c r="J3" s="10" t="str">
        <f aca="false">IF(I3="","",IFERROR(INDEX($D$2:$D$201,MATCH(I3,$A$2:$A$201,0)),""))</f>
        <v/>
      </c>
      <c r="K3" s="10" t="str">
        <f aca="false">IF(J3="","",IFERROR(INDEX($D$2:$D$201,MATCH(J3,$A$2:$A$201,0)),""))</f>
        <v/>
      </c>
      <c r="L3" s="10" t="str">
        <f aca="false">IF(K3="","",IFERROR(INDEX($D$2:$D$201,MATCH(K3,$A$2:$A$201,0)),""))</f>
        <v/>
      </c>
      <c r="M3" s="10" t="str">
        <f aca="false">IF(A3="","",IF(K3&lt;&gt;"",K3,IF(J3&lt;&gt;"",J3,IF(I3&lt;&gt;"",I3,IF(H3&lt;&gt;"",H3,A3)))))</f>
        <v/>
      </c>
    </row>
    <row r="4" customFormat="false" ht="15" hidden="false" customHeight="false" outlineLevel="0" collapsed="false">
      <c r="A4" s="9"/>
      <c r="B4" s="9"/>
      <c r="C4" s="9"/>
      <c r="D4" s="9"/>
      <c r="E4" s="9"/>
      <c r="F4" s="10" t="str">
        <f aca="false">IF(A4="","",IF(K4&lt;&gt;"",IFERROR(IF(INDEX($E$2:$E$201,MATCH(K4,$A$2:$A$201,0))="",K4,INDEX($E$2:$E$201,MATCH(K4,$A$2:$A$201,0))),K4)&amp;"/","")&amp;IF(J4&lt;&gt;"",IFERROR(IF(INDEX($E$2:$E$201,MATCH(J4,$A$2:$A$201,0))="",J4,INDEX($E$2:$E$201,MATCH(J4,$A$2:$A$201,0))),J4)&amp;"/","")&amp;IF(I4&lt;&gt;"",IFERROR(IF(INDEX($E$2:$E$201,MATCH(I4,$A$2:$A$201,0))="",I4,INDEX($E$2:$E$201,MATCH(I4,$A$2:$A$201,0))),I4)&amp;"/","")&amp;IF(H4&lt;&gt;"",IFERROR(IF(INDEX($E$2:$E$201,MATCH(H4,$A$2:$A$201,0))="",H4,INDEX($E$2:$E$201,MATCH(H4,$A$2:$A$201,0))),H4)&amp;"/","")&amp;IF(E4="",A4,E4))</f>
        <v/>
      </c>
      <c r="G4" s="10" t="str">
        <f aca="false">IF(A4="","",IF(SUMPRODUCT(--EXACT($A$2:$A$201,A4))&gt;1,"Duplicate ID",IF(SUMPRODUCT(--EXACT('1 Types'!$A$2:$A$201,C4))=0,"Type is not on the Types sheet",IF(AND(D4&lt;&gt;"",NOT(SUMPRODUCT(--EXACT($A$2:$A$201,D4))&gt;0)),"Parent is not an asset",IF(AND(D4="",IFERROR(INDEX('1 Types'!$E$2:$E$201,MATCH(C4,'1 Types'!$A$2:$A$201,0)),"")&lt;&gt;"yes"),"Needs a parent",IF(OR(L4&lt;&gt;"",H4=A4,I4=A4,J4=A4,K4=A4),"Parent loop, or more than five levels","ok"))))))</f>
        <v/>
      </c>
      <c r="H4" s="10" t="str">
        <f aca="false">IF(A4="","",D4)</f>
        <v/>
      </c>
      <c r="I4" s="10" t="str">
        <f aca="false">IF(H4="","",IFERROR(INDEX($D$2:$D$201,MATCH(H4,$A$2:$A$201,0)),""))</f>
        <v/>
      </c>
      <c r="J4" s="10" t="str">
        <f aca="false">IF(I4="","",IFERROR(INDEX($D$2:$D$201,MATCH(I4,$A$2:$A$201,0)),""))</f>
        <v/>
      </c>
      <c r="K4" s="10" t="str">
        <f aca="false">IF(J4="","",IFERROR(INDEX($D$2:$D$201,MATCH(J4,$A$2:$A$201,0)),""))</f>
        <v/>
      </c>
      <c r="L4" s="10" t="str">
        <f aca="false">IF(K4="","",IFERROR(INDEX($D$2:$D$201,MATCH(K4,$A$2:$A$201,0)),""))</f>
        <v/>
      </c>
      <c r="M4" s="10" t="str">
        <f aca="false">IF(A4="","",IF(K4&lt;&gt;"",K4,IF(J4&lt;&gt;"",J4,IF(I4&lt;&gt;"",I4,IF(H4&lt;&gt;"",H4,A4)))))</f>
        <v/>
      </c>
    </row>
    <row r="5" customFormat="false" ht="15" hidden="false" customHeight="false" outlineLevel="0" collapsed="false">
      <c r="A5" s="9"/>
      <c r="B5" s="9"/>
      <c r="C5" s="9"/>
      <c r="D5" s="9"/>
      <c r="E5" s="9"/>
      <c r="F5" s="10" t="str">
        <f aca="false">IF(A5="","",IF(K5&lt;&gt;"",IFERROR(IF(INDEX($E$2:$E$201,MATCH(K5,$A$2:$A$201,0))="",K5,INDEX($E$2:$E$201,MATCH(K5,$A$2:$A$201,0))),K5)&amp;"/","")&amp;IF(J5&lt;&gt;"",IFERROR(IF(INDEX($E$2:$E$201,MATCH(J5,$A$2:$A$201,0))="",J5,INDEX($E$2:$E$201,MATCH(J5,$A$2:$A$201,0))),J5)&amp;"/","")&amp;IF(I5&lt;&gt;"",IFERROR(IF(INDEX($E$2:$E$201,MATCH(I5,$A$2:$A$201,0))="",I5,INDEX($E$2:$E$201,MATCH(I5,$A$2:$A$201,0))),I5)&amp;"/","")&amp;IF(H5&lt;&gt;"",IFERROR(IF(INDEX($E$2:$E$201,MATCH(H5,$A$2:$A$201,0))="",H5,INDEX($E$2:$E$201,MATCH(H5,$A$2:$A$201,0))),H5)&amp;"/","")&amp;IF(E5="",A5,E5))</f>
        <v/>
      </c>
      <c r="G5" s="10" t="str">
        <f aca="false">IF(A5="","",IF(SUMPRODUCT(--EXACT($A$2:$A$201,A5))&gt;1,"Duplicate ID",IF(SUMPRODUCT(--EXACT('1 Types'!$A$2:$A$201,C5))=0,"Type is not on the Types sheet",IF(AND(D5&lt;&gt;"",NOT(SUMPRODUCT(--EXACT($A$2:$A$201,D5))&gt;0)),"Parent is not an asset",IF(AND(D5="",IFERROR(INDEX('1 Types'!$E$2:$E$201,MATCH(C5,'1 Types'!$A$2:$A$201,0)),"")&lt;&gt;"yes"),"Needs a parent",IF(OR(L5&lt;&gt;"",H5=A5,I5=A5,J5=A5,K5=A5),"Parent loop, or more than five levels","ok"))))))</f>
        <v/>
      </c>
      <c r="H5" s="10" t="str">
        <f aca="false">IF(A5="","",D5)</f>
        <v/>
      </c>
      <c r="I5" s="10" t="str">
        <f aca="false">IF(H5="","",IFERROR(INDEX($D$2:$D$201,MATCH(H5,$A$2:$A$201,0)),""))</f>
        <v/>
      </c>
      <c r="J5" s="10" t="str">
        <f aca="false">IF(I5="","",IFERROR(INDEX($D$2:$D$201,MATCH(I5,$A$2:$A$201,0)),""))</f>
        <v/>
      </c>
      <c r="K5" s="10" t="str">
        <f aca="false">IF(J5="","",IFERROR(INDEX($D$2:$D$201,MATCH(J5,$A$2:$A$201,0)),""))</f>
        <v/>
      </c>
      <c r="L5" s="10" t="str">
        <f aca="false">IF(K5="","",IFERROR(INDEX($D$2:$D$201,MATCH(K5,$A$2:$A$201,0)),""))</f>
        <v/>
      </c>
      <c r="M5" s="10" t="str">
        <f aca="false">IF(A5="","",IF(K5&lt;&gt;"",K5,IF(J5&lt;&gt;"",J5,IF(I5&lt;&gt;"",I5,IF(H5&lt;&gt;"",H5,A5)))))</f>
        <v/>
      </c>
    </row>
    <row r="6" customFormat="false" ht="15" hidden="false" customHeight="false" outlineLevel="0" collapsed="false">
      <c r="A6" s="9"/>
      <c r="B6" s="9"/>
      <c r="C6" s="9"/>
      <c r="D6" s="9"/>
      <c r="E6" s="9"/>
      <c r="F6" s="10" t="str">
        <f aca="false">IF(A6="","",IF(K6&lt;&gt;"",IFERROR(IF(INDEX($E$2:$E$201,MATCH(K6,$A$2:$A$201,0))="",K6,INDEX($E$2:$E$201,MATCH(K6,$A$2:$A$201,0))),K6)&amp;"/","")&amp;IF(J6&lt;&gt;"",IFERROR(IF(INDEX($E$2:$E$201,MATCH(J6,$A$2:$A$201,0))="",J6,INDEX($E$2:$E$201,MATCH(J6,$A$2:$A$201,0))),J6)&amp;"/","")&amp;IF(I6&lt;&gt;"",IFERROR(IF(INDEX($E$2:$E$201,MATCH(I6,$A$2:$A$201,0))="",I6,INDEX($E$2:$E$201,MATCH(I6,$A$2:$A$201,0))),I6)&amp;"/","")&amp;IF(H6&lt;&gt;"",IFERROR(IF(INDEX($E$2:$E$201,MATCH(H6,$A$2:$A$201,0))="",H6,INDEX($E$2:$E$201,MATCH(H6,$A$2:$A$201,0))),H6)&amp;"/","")&amp;IF(E6="",A6,E6))</f>
        <v/>
      </c>
      <c r="G6" s="10" t="str">
        <f aca="false">IF(A6="","",IF(SUMPRODUCT(--EXACT($A$2:$A$201,A6))&gt;1,"Duplicate ID",IF(SUMPRODUCT(--EXACT('1 Types'!$A$2:$A$201,C6))=0,"Type is not on the Types sheet",IF(AND(D6&lt;&gt;"",NOT(SUMPRODUCT(--EXACT($A$2:$A$201,D6))&gt;0)),"Parent is not an asset",IF(AND(D6="",IFERROR(INDEX('1 Types'!$E$2:$E$201,MATCH(C6,'1 Types'!$A$2:$A$201,0)),"")&lt;&gt;"yes"),"Needs a parent",IF(OR(L6&lt;&gt;"",H6=A6,I6=A6,J6=A6,K6=A6),"Parent loop, or more than five levels","ok"))))))</f>
        <v/>
      </c>
      <c r="H6" s="10" t="str">
        <f aca="false">IF(A6="","",D6)</f>
        <v/>
      </c>
      <c r="I6" s="10" t="str">
        <f aca="false">IF(H6="","",IFERROR(INDEX($D$2:$D$201,MATCH(H6,$A$2:$A$201,0)),""))</f>
        <v/>
      </c>
      <c r="J6" s="10" t="str">
        <f aca="false">IF(I6="","",IFERROR(INDEX($D$2:$D$201,MATCH(I6,$A$2:$A$201,0)),""))</f>
        <v/>
      </c>
      <c r="K6" s="10" t="str">
        <f aca="false">IF(J6="","",IFERROR(INDEX($D$2:$D$201,MATCH(J6,$A$2:$A$201,0)),""))</f>
        <v/>
      </c>
      <c r="L6" s="10" t="str">
        <f aca="false">IF(K6="","",IFERROR(INDEX($D$2:$D$201,MATCH(K6,$A$2:$A$201,0)),""))</f>
        <v/>
      </c>
      <c r="M6" s="10" t="str">
        <f aca="false">IF(A6="","",IF(K6&lt;&gt;"",K6,IF(J6&lt;&gt;"",J6,IF(I6&lt;&gt;"",I6,IF(H6&lt;&gt;"",H6,A6)))))</f>
        <v/>
      </c>
    </row>
    <row r="7" customFormat="false" ht="15" hidden="false" customHeight="false" outlineLevel="0" collapsed="false">
      <c r="A7" s="9"/>
      <c r="B7" s="9"/>
      <c r="C7" s="9"/>
      <c r="D7" s="9"/>
      <c r="E7" s="9"/>
      <c r="F7" s="10" t="str">
        <f aca="false">IF(A7="","",IF(K7&lt;&gt;"",IFERROR(IF(INDEX($E$2:$E$201,MATCH(K7,$A$2:$A$201,0))="",K7,INDEX($E$2:$E$201,MATCH(K7,$A$2:$A$201,0))),K7)&amp;"/","")&amp;IF(J7&lt;&gt;"",IFERROR(IF(INDEX($E$2:$E$201,MATCH(J7,$A$2:$A$201,0))="",J7,INDEX($E$2:$E$201,MATCH(J7,$A$2:$A$201,0))),J7)&amp;"/","")&amp;IF(I7&lt;&gt;"",IFERROR(IF(INDEX($E$2:$E$201,MATCH(I7,$A$2:$A$201,0))="",I7,INDEX($E$2:$E$201,MATCH(I7,$A$2:$A$201,0))),I7)&amp;"/","")&amp;IF(H7&lt;&gt;"",IFERROR(IF(INDEX($E$2:$E$201,MATCH(H7,$A$2:$A$201,0))="",H7,INDEX($E$2:$E$201,MATCH(H7,$A$2:$A$201,0))),H7)&amp;"/","")&amp;IF(E7="",A7,E7))</f>
        <v/>
      </c>
      <c r="G7" s="10" t="str">
        <f aca="false">IF(A7="","",IF(SUMPRODUCT(--EXACT($A$2:$A$201,A7))&gt;1,"Duplicate ID",IF(SUMPRODUCT(--EXACT('1 Types'!$A$2:$A$201,C7))=0,"Type is not on the Types sheet",IF(AND(D7&lt;&gt;"",NOT(SUMPRODUCT(--EXACT($A$2:$A$201,D7))&gt;0)),"Parent is not an asset",IF(AND(D7="",IFERROR(INDEX('1 Types'!$E$2:$E$201,MATCH(C7,'1 Types'!$A$2:$A$201,0)),"")&lt;&gt;"yes"),"Needs a parent",IF(OR(L7&lt;&gt;"",H7=A7,I7=A7,J7=A7,K7=A7),"Parent loop, or more than five levels","ok"))))))</f>
        <v/>
      </c>
      <c r="H7" s="10" t="str">
        <f aca="false">IF(A7="","",D7)</f>
        <v/>
      </c>
      <c r="I7" s="10" t="str">
        <f aca="false">IF(H7="","",IFERROR(INDEX($D$2:$D$201,MATCH(H7,$A$2:$A$201,0)),""))</f>
        <v/>
      </c>
      <c r="J7" s="10" t="str">
        <f aca="false">IF(I7="","",IFERROR(INDEX($D$2:$D$201,MATCH(I7,$A$2:$A$201,0)),""))</f>
        <v/>
      </c>
      <c r="K7" s="10" t="str">
        <f aca="false">IF(J7="","",IFERROR(INDEX($D$2:$D$201,MATCH(J7,$A$2:$A$201,0)),""))</f>
        <v/>
      </c>
      <c r="L7" s="10" t="str">
        <f aca="false">IF(K7="","",IFERROR(INDEX($D$2:$D$201,MATCH(K7,$A$2:$A$201,0)),""))</f>
        <v/>
      </c>
      <c r="M7" s="10" t="str">
        <f aca="false">IF(A7="","",IF(K7&lt;&gt;"",K7,IF(J7&lt;&gt;"",J7,IF(I7&lt;&gt;"",I7,IF(H7&lt;&gt;"",H7,A7)))))</f>
        <v/>
      </c>
    </row>
    <row r="8" customFormat="false" ht="15" hidden="false" customHeight="false" outlineLevel="0" collapsed="false">
      <c r="A8" s="9"/>
      <c r="B8" s="9"/>
      <c r="C8" s="9"/>
      <c r="D8" s="9"/>
      <c r="E8" s="9"/>
      <c r="F8" s="10" t="str">
        <f aca="false">IF(A8="","",IF(K8&lt;&gt;"",IFERROR(IF(INDEX($E$2:$E$201,MATCH(K8,$A$2:$A$201,0))="",K8,INDEX($E$2:$E$201,MATCH(K8,$A$2:$A$201,0))),K8)&amp;"/","")&amp;IF(J8&lt;&gt;"",IFERROR(IF(INDEX($E$2:$E$201,MATCH(J8,$A$2:$A$201,0))="",J8,INDEX($E$2:$E$201,MATCH(J8,$A$2:$A$201,0))),J8)&amp;"/","")&amp;IF(I8&lt;&gt;"",IFERROR(IF(INDEX($E$2:$E$201,MATCH(I8,$A$2:$A$201,0))="",I8,INDEX($E$2:$E$201,MATCH(I8,$A$2:$A$201,0))),I8)&amp;"/","")&amp;IF(H8&lt;&gt;"",IFERROR(IF(INDEX($E$2:$E$201,MATCH(H8,$A$2:$A$201,0))="",H8,INDEX($E$2:$E$201,MATCH(H8,$A$2:$A$201,0))),H8)&amp;"/","")&amp;IF(E8="",A8,E8))</f>
        <v/>
      </c>
      <c r="G8" s="10" t="str">
        <f aca="false">IF(A8="","",IF(SUMPRODUCT(--EXACT($A$2:$A$201,A8))&gt;1,"Duplicate ID",IF(SUMPRODUCT(--EXACT('1 Types'!$A$2:$A$201,C8))=0,"Type is not on the Types sheet",IF(AND(D8&lt;&gt;"",NOT(SUMPRODUCT(--EXACT($A$2:$A$201,D8))&gt;0)),"Parent is not an asset",IF(AND(D8="",IFERROR(INDEX('1 Types'!$E$2:$E$201,MATCH(C8,'1 Types'!$A$2:$A$201,0)),"")&lt;&gt;"yes"),"Needs a parent",IF(OR(L8&lt;&gt;"",H8=A8,I8=A8,J8=A8,K8=A8),"Parent loop, or more than five levels","ok"))))))</f>
        <v/>
      </c>
      <c r="H8" s="10" t="str">
        <f aca="false">IF(A8="","",D8)</f>
        <v/>
      </c>
      <c r="I8" s="10" t="str">
        <f aca="false">IF(H8="","",IFERROR(INDEX($D$2:$D$201,MATCH(H8,$A$2:$A$201,0)),""))</f>
        <v/>
      </c>
      <c r="J8" s="10" t="str">
        <f aca="false">IF(I8="","",IFERROR(INDEX($D$2:$D$201,MATCH(I8,$A$2:$A$201,0)),""))</f>
        <v/>
      </c>
      <c r="K8" s="10" t="str">
        <f aca="false">IF(J8="","",IFERROR(INDEX($D$2:$D$201,MATCH(J8,$A$2:$A$201,0)),""))</f>
        <v/>
      </c>
      <c r="L8" s="10" t="str">
        <f aca="false">IF(K8="","",IFERROR(INDEX($D$2:$D$201,MATCH(K8,$A$2:$A$201,0)),""))</f>
        <v/>
      </c>
      <c r="M8" s="10" t="str">
        <f aca="false">IF(A8="","",IF(K8&lt;&gt;"",K8,IF(J8&lt;&gt;"",J8,IF(I8&lt;&gt;"",I8,IF(H8&lt;&gt;"",H8,A8)))))</f>
        <v/>
      </c>
    </row>
    <row r="9" customFormat="false" ht="15" hidden="false" customHeight="false" outlineLevel="0" collapsed="false">
      <c r="A9" s="9"/>
      <c r="B9" s="9"/>
      <c r="C9" s="9"/>
      <c r="D9" s="9"/>
      <c r="E9" s="9"/>
      <c r="F9" s="10" t="str">
        <f aca="false">IF(A9="","",IF(K9&lt;&gt;"",IFERROR(IF(INDEX($E$2:$E$201,MATCH(K9,$A$2:$A$201,0))="",K9,INDEX($E$2:$E$201,MATCH(K9,$A$2:$A$201,0))),K9)&amp;"/","")&amp;IF(J9&lt;&gt;"",IFERROR(IF(INDEX($E$2:$E$201,MATCH(J9,$A$2:$A$201,0))="",J9,INDEX($E$2:$E$201,MATCH(J9,$A$2:$A$201,0))),J9)&amp;"/","")&amp;IF(I9&lt;&gt;"",IFERROR(IF(INDEX($E$2:$E$201,MATCH(I9,$A$2:$A$201,0))="",I9,INDEX($E$2:$E$201,MATCH(I9,$A$2:$A$201,0))),I9)&amp;"/","")&amp;IF(H9&lt;&gt;"",IFERROR(IF(INDEX($E$2:$E$201,MATCH(H9,$A$2:$A$201,0))="",H9,INDEX($E$2:$E$201,MATCH(H9,$A$2:$A$201,0))),H9)&amp;"/","")&amp;IF(E9="",A9,E9))</f>
        <v/>
      </c>
      <c r="G9" s="10" t="str">
        <f aca="false">IF(A9="","",IF(SUMPRODUCT(--EXACT($A$2:$A$201,A9))&gt;1,"Duplicate ID",IF(SUMPRODUCT(--EXACT('1 Types'!$A$2:$A$201,C9))=0,"Type is not on the Types sheet",IF(AND(D9&lt;&gt;"",NOT(SUMPRODUCT(--EXACT($A$2:$A$201,D9))&gt;0)),"Parent is not an asset",IF(AND(D9="",IFERROR(INDEX('1 Types'!$E$2:$E$201,MATCH(C9,'1 Types'!$A$2:$A$201,0)),"")&lt;&gt;"yes"),"Needs a parent",IF(OR(L9&lt;&gt;"",H9=A9,I9=A9,J9=A9,K9=A9),"Parent loop, or more than five levels","ok"))))))</f>
        <v/>
      </c>
      <c r="H9" s="10" t="str">
        <f aca="false">IF(A9="","",D9)</f>
        <v/>
      </c>
      <c r="I9" s="10" t="str">
        <f aca="false">IF(H9="","",IFERROR(INDEX($D$2:$D$201,MATCH(H9,$A$2:$A$201,0)),""))</f>
        <v/>
      </c>
      <c r="J9" s="10" t="str">
        <f aca="false">IF(I9="","",IFERROR(INDEX($D$2:$D$201,MATCH(I9,$A$2:$A$201,0)),""))</f>
        <v/>
      </c>
      <c r="K9" s="10" t="str">
        <f aca="false">IF(J9="","",IFERROR(INDEX($D$2:$D$201,MATCH(J9,$A$2:$A$201,0)),""))</f>
        <v/>
      </c>
      <c r="L9" s="10" t="str">
        <f aca="false">IF(K9="","",IFERROR(INDEX($D$2:$D$201,MATCH(K9,$A$2:$A$201,0)),""))</f>
        <v/>
      </c>
      <c r="M9" s="10" t="str">
        <f aca="false">IF(A9="","",IF(K9&lt;&gt;"",K9,IF(J9&lt;&gt;"",J9,IF(I9&lt;&gt;"",I9,IF(H9&lt;&gt;"",H9,A9)))))</f>
        <v/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10" t="str">
        <f aca="false">IF(A10="","",IF(K10&lt;&gt;"",IFERROR(IF(INDEX($E$2:$E$201,MATCH(K10,$A$2:$A$201,0))="",K10,INDEX($E$2:$E$201,MATCH(K10,$A$2:$A$201,0))),K10)&amp;"/","")&amp;IF(J10&lt;&gt;"",IFERROR(IF(INDEX($E$2:$E$201,MATCH(J10,$A$2:$A$201,0))="",J10,INDEX($E$2:$E$201,MATCH(J10,$A$2:$A$201,0))),J10)&amp;"/","")&amp;IF(I10&lt;&gt;"",IFERROR(IF(INDEX($E$2:$E$201,MATCH(I10,$A$2:$A$201,0))="",I10,INDEX($E$2:$E$201,MATCH(I10,$A$2:$A$201,0))),I10)&amp;"/","")&amp;IF(H10&lt;&gt;"",IFERROR(IF(INDEX($E$2:$E$201,MATCH(H10,$A$2:$A$201,0))="",H10,INDEX($E$2:$E$201,MATCH(H10,$A$2:$A$201,0))),H10)&amp;"/","")&amp;IF(E10="",A10,E10))</f>
        <v/>
      </c>
      <c r="G10" s="10" t="str">
        <f aca="false">IF(A10="","",IF(SUMPRODUCT(--EXACT($A$2:$A$201,A10))&gt;1,"Duplicate ID",IF(SUMPRODUCT(--EXACT('1 Types'!$A$2:$A$201,C10))=0,"Type is not on the Types sheet",IF(AND(D10&lt;&gt;"",NOT(SUMPRODUCT(--EXACT($A$2:$A$201,D10))&gt;0)),"Parent is not an asset",IF(AND(D10="",IFERROR(INDEX('1 Types'!$E$2:$E$201,MATCH(C10,'1 Types'!$A$2:$A$201,0)),"")&lt;&gt;"yes"),"Needs a parent",IF(OR(L10&lt;&gt;"",H10=A10,I10=A10,J10=A10,K10=A10),"Parent loop, or more than five levels","ok"))))))</f>
        <v/>
      </c>
      <c r="H10" s="10" t="str">
        <f aca="false">IF(A10="","",D10)</f>
        <v/>
      </c>
      <c r="I10" s="10" t="str">
        <f aca="false">IF(H10="","",IFERROR(INDEX($D$2:$D$201,MATCH(H10,$A$2:$A$201,0)),""))</f>
        <v/>
      </c>
      <c r="J10" s="10" t="str">
        <f aca="false">IF(I10="","",IFERROR(INDEX($D$2:$D$201,MATCH(I10,$A$2:$A$201,0)),""))</f>
        <v/>
      </c>
      <c r="K10" s="10" t="str">
        <f aca="false">IF(J10="","",IFERROR(INDEX($D$2:$D$201,MATCH(J10,$A$2:$A$201,0)),""))</f>
        <v/>
      </c>
      <c r="L10" s="10" t="str">
        <f aca="false">IF(K10="","",IFERROR(INDEX($D$2:$D$201,MATCH(K10,$A$2:$A$201,0)),""))</f>
        <v/>
      </c>
      <c r="M10" s="10" t="str">
        <f aca="false">IF(A10="","",IF(K10&lt;&gt;"",K10,IF(J10&lt;&gt;"",J10,IF(I10&lt;&gt;"",I10,IF(H10&lt;&gt;"",H10,A10)))))</f>
        <v/>
      </c>
    </row>
    <row r="11" customFormat="false" ht="15" hidden="false" customHeight="false" outlineLevel="0" collapsed="false">
      <c r="A11" s="9"/>
      <c r="B11" s="9"/>
      <c r="C11" s="9"/>
      <c r="D11" s="9"/>
      <c r="E11" s="9"/>
      <c r="F11" s="10" t="str">
        <f aca="false">IF(A11="","",IF(K11&lt;&gt;"",IFERROR(IF(INDEX($E$2:$E$201,MATCH(K11,$A$2:$A$201,0))="",K11,INDEX($E$2:$E$201,MATCH(K11,$A$2:$A$201,0))),K11)&amp;"/","")&amp;IF(J11&lt;&gt;"",IFERROR(IF(INDEX($E$2:$E$201,MATCH(J11,$A$2:$A$201,0))="",J11,INDEX($E$2:$E$201,MATCH(J11,$A$2:$A$201,0))),J11)&amp;"/","")&amp;IF(I11&lt;&gt;"",IFERROR(IF(INDEX($E$2:$E$201,MATCH(I11,$A$2:$A$201,0))="",I11,INDEX($E$2:$E$201,MATCH(I11,$A$2:$A$201,0))),I11)&amp;"/","")&amp;IF(H11&lt;&gt;"",IFERROR(IF(INDEX($E$2:$E$201,MATCH(H11,$A$2:$A$201,0))="",H11,INDEX($E$2:$E$201,MATCH(H11,$A$2:$A$201,0))),H11)&amp;"/","")&amp;IF(E11="",A11,E11))</f>
        <v/>
      </c>
      <c r="G11" s="10" t="str">
        <f aca="false">IF(A11="","",IF(SUMPRODUCT(--EXACT($A$2:$A$201,A11))&gt;1,"Duplicate ID",IF(SUMPRODUCT(--EXACT('1 Types'!$A$2:$A$201,C11))=0,"Type is not on the Types sheet",IF(AND(D11&lt;&gt;"",NOT(SUMPRODUCT(--EXACT($A$2:$A$201,D11))&gt;0)),"Parent is not an asset",IF(AND(D11="",IFERROR(INDEX('1 Types'!$E$2:$E$201,MATCH(C11,'1 Types'!$A$2:$A$201,0)),"")&lt;&gt;"yes"),"Needs a parent",IF(OR(L11&lt;&gt;"",H11=A11,I11=A11,J11=A11,K11=A11),"Parent loop, or more than five levels","ok"))))))</f>
        <v/>
      </c>
      <c r="H11" s="10" t="str">
        <f aca="false">IF(A11="","",D11)</f>
        <v/>
      </c>
      <c r="I11" s="10" t="str">
        <f aca="false">IF(H11="","",IFERROR(INDEX($D$2:$D$201,MATCH(H11,$A$2:$A$201,0)),""))</f>
        <v/>
      </c>
      <c r="J11" s="10" t="str">
        <f aca="false">IF(I11="","",IFERROR(INDEX($D$2:$D$201,MATCH(I11,$A$2:$A$201,0)),""))</f>
        <v/>
      </c>
      <c r="K11" s="10" t="str">
        <f aca="false">IF(J11="","",IFERROR(INDEX($D$2:$D$201,MATCH(J11,$A$2:$A$201,0)),""))</f>
        <v/>
      </c>
      <c r="L11" s="10" t="str">
        <f aca="false">IF(K11="","",IFERROR(INDEX($D$2:$D$201,MATCH(K11,$A$2:$A$201,0)),""))</f>
        <v/>
      </c>
      <c r="M11" s="10" t="str">
        <f aca="false">IF(A11="","",IF(K11&lt;&gt;"",K11,IF(J11&lt;&gt;"",J11,IF(I11&lt;&gt;"",I11,IF(H11&lt;&gt;"",H11,A11)))))</f>
        <v/>
      </c>
    </row>
    <row r="12" customFormat="false" ht="15" hidden="false" customHeight="false" outlineLevel="0" collapsed="false">
      <c r="A12" s="9"/>
      <c r="B12" s="9"/>
      <c r="C12" s="9"/>
      <c r="D12" s="9"/>
      <c r="E12" s="9"/>
      <c r="F12" s="10" t="str">
        <f aca="false">IF(A12="","",IF(K12&lt;&gt;"",IFERROR(IF(INDEX($E$2:$E$201,MATCH(K12,$A$2:$A$201,0))="",K12,INDEX($E$2:$E$201,MATCH(K12,$A$2:$A$201,0))),K12)&amp;"/","")&amp;IF(J12&lt;&gt;"",IFERROR(IF(INDEX($E$2:$E$201,MATCH(J12,$A$2:$A$201,0))="",J12,INDEX($E$2:$E$201,MATCH(J12,$A$2:$A$201,0))),J12)&amp;"/","")&amp;IF(I12&lt;&gt;"",IFERROR(IF(INDEX($E$2:$E$201,MATCH(I12,$A$2:$A$201,0))="",I12,INDEX($E$2:$E$201,MATCH(I12,$A$2:$A$201,0))),I12)&amp;"/","")&amp;IF(H12&lt;&gt;"",IFERROR(IF(INDEX($E$2:$E$201,MATCH(H12,$A$2:$A$201,0))="",H12,INDEX($E$2:$E$201,MATCH(H12,$A$2:$A$201,0))),H12)&amp;"/","")&amp;IF(E12="",A12,E12))</f>
        <v/>
      </c>
      <c r="G12" s="10" t="str">
        <f aca="false">IF(A12="","",IF(SUMPRODUCT(--EXACT($A$2:$A$201,A12))&gt;1,"Duplicate ID",IF(SUMPRODUCT(--EXACT('1 Types'!$A$2:$A$201,C12))=0,"Type is not on the Types sheet",IF(AND(D12&lt;&gt;"",NOT(SUMPRODUCT(--EXACT($A$2:$A$201,D12))&gt;0)),"Parent is not an asset",IF(AND(D12="",IFERROR(INDEX('1 Types'!$E$2:$E$201,MATCH(C12,'1 Types'!$A$2:$A$201,0)),"")&lt;&gt;"yes"),"Needs a parent",IF(OR(L12&lt;&gt;"",H12=A12,I12=A12,J12=A12,K12=A12),"Parent loop, or more than five levels","ok"))))))</f>
        <v/>
      </c>
      <c r="H12" s="10" t="str">
        <f aca="false">IF(A12="","",D12)</f>
        <v/>
      </c>
      <c r="I12" s="10" t="str">
        <f aca="false">IF(H12="","",IFERROR(INDEX($D$2:$D$201,MATCH(H12,$A$2:$A$201,0)),""))</f>
        <v/>
      </c>
      <c r="J12" s="10" t="str">
        <f aca="false">IF(I12="","",IFERROR(INDEX($D$2:$D$201,MATCH(I12,$A$2:$A$201,0)),""))</f>
        <v/>
      </c>
      <c r="K12" s="10" t="str">
        <f aca="false">IF(J12="","",IFERROR(INDEX($D$2:$D$201,MATCH(J12,$A$2:$A$201,0)),""))</f>
        <v/>
      </c>
      <c r="L12" s="10" t="str">
        <f aca="false">IF(K12="","",IFERROR(INDEX($D$2:$D$201,MATCH(K12,$A$2:$A$201,0)),""))</f>
        <v/>
      </c>
      <c r="M12" s="10" t="str">
        <f aca="false">IF(A12="","",IF(K12&lt;&gt;"",K12,IF(J12&lt;&gt;"",J12,IF(I12&lt;&gt;"",I12,IF(H12&lt;&gt;"",H12,A12)))))</f>
        <v/>
      </c>
    </row>
    <row r="13" customFormat="false" ht="15" hidden="false" customHeight="false" outlineLevel="0" collapsed="false">
      <c r="A13" s="9"/>
      <c r="B13" s="9"/>
      <c r="C13" s="9"/>
      <c r="D13" s="9"/>
      <c r="E13" s="9"/>
      <c r="F13" s="10" t="str">
        <f aca="false">IF(A13="","",IF(K13&lt;&gt;"",IFERROR(IF(INDEX($E$2:$E$201,MATCH(K13,$A$2:$A$201,0))="",K13,INDEX($E$2:$E$201,MATCH(K13,$A$2:$A$201,0))),K13)&amp;"/","")&amp;IF(J13&lt;&gt;"",IFERROR(IF(INDEX($E$2:$E$201,MATCH(J13,$A$2:$A$201,0))="",J13,INDEX($E$2:$E$201,MATCH(J13,$A$2:$A$201,0))),J13)&amp;"/","")&amp;IF(I13&lt;&gt;"",IFERROR(IF(INDEX($E$2:$E$201,MATCH(I13,$A$2:$A$201,0))="",I13,INDEX($E$2:$E$201,MATCH(I13,$A$2:$A$201,0))),I13)&amp;"/","")&amp;IF(H13&lt;&gt;"",IFERROR(IF(INDEX($E$2:$E$201,MATCH(H13,$A$2:$A$201,0))="",H13,INDEX($E$2:$E$201,MATCH(H13,$A$2:$A$201,0))),H13)&amp;"/","")&amp;IF(E13="",A13,E13))</f>
        <v/>
      </c>
      <c r="G13" s="10" t="str">
        <f aca="false">IF(A13="","",IF(SUMPRODUCT(--EXACT($A$2:$A$201,A13))&gt;1,"Duplicate ID",IF(SUMPRODUCT(--EXACT('1 Types'!$A$2:$A$201,C13))=0,"Type is not on the Types sheet",IF(AND(D13&lt;&gt;"",NOT(SUMPRODUCT(--EXACT($A$2:$A$201,D13))&gt;0)),"Parent is not an asset",IF(AND(D13="",IFERROR(INDEX('1 Types'!$E$2:$E$201,MATCH(C13,'1 Types'!$A$2:$A$201,0)),"")&lt;&gt;"yes"),"Needs a parent",IF(OR(L13&lt;&gt;"",H13=A13,I13=A13,J13=A13,K13=A13),"Parent loop, or more than five levels","ok"))))))</f>
        <v/>
      </c>
      <c r="H13" s="10" t="str">
        <f aca="false">IF(A13="","",D13)</f>
        <v/>
      </c>
      <c r="I13" s="10" t="str">
        <f aca="false">IF(H13="","",IFERROR(INDEX($D$2:$D$201,MATCH(H13,$A$2:$A$201,0)),""))</f>
        <v/>
      </c>
      <c r="J13" s="10" t="str">
        <f aca="false">IF(I13="","",IFERROR(INDEX($D$2:$D$201,MATCH(I13,$A$2:$A$201,0)),""))</f>
        <v/>
      </c>
      <c r="K13" s="10" t="str">
        <f aca="false">IF(J13="","",IFERROR(INDEX($D$2:$D$201,MATCH(J13,$A$2:$A$201,0)),""))</f>
        <v/>
      </c>
      <c r="L13" s="10" t="str">
        <f aca="false">IF(K13="","",IFERROR(INDEX($D$2:$D$201,MATCH(K13,$A$2:$A$201,0)),""))</f>
        <v/>
      </c>
      <c r="M13" s="10" t="str">
        <f aca="false">IF(A13="","",IF(K13&lt;&gt;"",K13,IF(J13&lt;&gt;"",J13,IF(I13&lt;&gt;"",I13,IF(H13&lt;&gt;"",H13,A13)))))</f>
        <v/>
      </c>
    </row>
    <row r="14" customFormat="false" ht="15" hidden="false" customHeight="false" outlineLevel="0" collapsed="false">
      <c r="A14" s="9"/>
      <c r="B14" s="9"/>
      <c r="C14" s="9"/>
      <c r="D14" s="9"/>
      <c r="E14" s="9"/>
      <c r="F14" s="10" t="str">
        <f aca="false">IF(A14="","",IF(K14&lt;&gt;"",IFERROR(IF(INDEX($E$2:$E$201,MATCH(K14,$A$2:$A$201,0))="",K14,INDEX($E$2:$E$201,MATCH(K14,$A$2:$A$201,0))),K14)&amp;"/","")&amp;IF(J14&lt;&gt;"",IFERROR(IF(INDEX($E$2:$E$201,MATCH(J14,$A$2:$A$201,0))="",J14,INDEX($E$2:$E$201,MATCH(J14,$A$2:$A$201,0))),J14)&amp;"/","")&amp;IF(I14&lt;&gt;"",IFERROR(IF(INDEX($E$2:$E$201,MATCH(I14,$A$2:$A$201,0))="",I14,INDEX($E$2:$E$201,MATCH(I14,$A$2:$A$201,0))),I14)&amp;"/","")&amp;IF(H14&lt;&gt;"",IFERROR(IF(INDEX($E$2:$E$201,MATCH(H14,$A$2:$A$201,0))="",H14,INDEX($E$2:$E$201,MATCH(H14,$A$2:$A$201,0))),H14)&amp;"/","")&amp;IF(E14="",A14,E14))</f>
        <v/>
      </c>
      <c r="G14" s="10" t="str">
        <f aca="false">IF(A14="","",IF(SUMPRODUCT(--EXACT($A$2:$A$201,A14))&gt;1,"Duplicate ID",IF(SUMPRODUCT(--EXACT('1 Types'!$A$2:$A$201,C14))=0,"Type is not on the Types sheet",IF(AND(D14&lt;&gt;"",NOT(SUMPRODUCT(--EXACT($A$2:$A$201,D14))&gt;0)),"Parent is not an asset",IF(AND(D14="",IFERROR(INDEX('1 Types'!$E$2:$E$201,MATCH(C14,'1 Types'!$A$2:$A$201,0)),"")&lt;&gt;"yes"),"Needs a parent",IF(OR(L14&lt;&gt;"",H14=A14,I14=A14,J14=A14,K14=A14),"Parent loop, or more than five levels","ok"))))))</f>
        <v/>
      </c>
      <c r="H14" s="10" t="str">
        <f aca="false">IF(A14="","",D14)</f>
        <v/>
      </c>
      <c r="I14" s="10" t="str">
        <f aca="false">IF(H14="","",IFERROR(INDEX($D$2:$D$201,MATCH(H14,$A$2:$A$201,0)),""))</f>
        <v/>
      </c>
      <c r="J14" s="10" t="str">
        <f aca="false">IF(I14="","",IFERROR(INDEX($D$2:$D$201,MATCH(I14,$A$2:$A$201,0)),""))</f>
        <v/>
      </c>
      <c r="K14" s="10" t="str">
        <f aca="false">IF(J14="","",IFERROR(INDEX($D$2:$D$201,MATCH(J14,$A$2:$A$201,0)),""))</f>
        <v/>
      </c>
      <c r="L14" s="10" t="str">
        <f aca="false">IF(K14="","",IFERROR(INDEX($D$2:$D$201,MATCH(K14,$A$2:$A$201,0)),""))</f>
        <v/>
      </c>
      <c r="M14" s="10" t="str">
        <f aca="false">IF(A14="","",IF(K14&lt;&gt;"",K14,IF(J14&lt;&gt;"",J14,IF(I14&lt;&gt;"",I14,IF(H14&lt;&gt;"",H14,A14)))))</f>
        <v/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10" t="str">
        <f aca="false">IF(A15="","",IF(K15&lt;&gt;"",IFERROR(IF(INDEX($E$2:$E$201,MATCH(K15,$A$2:$A$201,0))="",K15,INDEX($E$2:$E$201,MATCH(K15,$A$2:$A$201,0))),K15)&amp;"/","")&amp;IF(J15&lt;&gt;"",IFERROR(IF(INDEX($E$2:$E$201,MATCH(J15,$A$2:$A$201,0))="",J15,INDEX($E$2:$E$201,MATCH(J15,$A$2:$A$201,0))),J15)&amp;"/","")&amp;IF(I15&lt;&gt;"",IFERROR(IF(INDEX($E$2:$E$201,MATCH(I15,$A$2:$A$201,0))="",I15,INDEX($E$2:$E$201,MATCH(I15,$A$2:$A$201,0))),I15)&amp;"/","")&amp;IF(H15&lt;&gt;"",IFERROR(IF(INDEX($E$2:$E$201,MATCH(H15,$A$2:$A$201,0))="",H15,INDEX($E$2:$E$201,MATCH(H15,$A$2:$A$201,0))),H15)&amp;"/","")&amp;IF(E15="",A15,E15))</f>
        <v/>
      </c>
      <c r="G15" s="10" t="str">
        <f aca="false">IF(A15="","",IF(SUMPRODUCT(--EXACT($A$2:$A$201,A15))&gt;1,"Duplicate ID",IF(SUMPRODUCT(--EXACT('1 Types'!$A$2:$A$201,C15))=0,"Type is not on the Types sheet",IF(AND(D15&lt;&gt;"",NOT(SUMPRODUCT(--EXACT($A$2:$A$201,D15))&gt;0)),"Parent is not an asset",IF(AND(D15="",IFERROR(INDEX('1 Types'!$E$2:$E$201,MATCH(C15,'1 Types'!$A$2:$A$201,0)),"")&lt;&gt;"yes"),"Needs a parent",IF(OR(L15&lt;&gt;"",H15=A15,I15=A15,J15=A15,K15=A15),"Parent loop, or more than five levels","ok"))))))</f>
        <v/>
      </c>
      <c r="H15" s="10" t="str">
        <f aca="false">IF(A15="","",D15)</f>
        <v/>
      </c>
      <c r="I15" s="10" t="str">
        <f aca="false">IF(H15="","",IFERROR(INDEX($D$2:$D$201,MATCH(H15,$A$2:$A$201,0)),""))</f>
        <v/>
      </c>
      <c r="J15" s="10" t="str">
        <f aca="false">IF(I15="","",IFERROR(INDEX($D$2:$D$201,MATCH(I15,$A$2:$A$201,0)),""))</f>
        <v/>
      </c>
      <c r="K15" s="10" t="str">
        <f aca="false">IF(J15="","",IFERROR(INDEX($D$2:$D$201,MATCH(J15,$A$2:$A$201,0)),""))</f>
        <v/>
      </c>
      <c r="L15" s="10" t="str">
        <f aca="false">IF(K15="","",IFERROR(INDEX($D$2:$D$201,MATCH(K15,$A$2:$A$201,0)),""))</f>
        <v/>
      </c>
      <c r="M15" s="10" t="str">
        <f aca="false">IF(A15="","",IF(K15&lt;&gt;"",K15,IF(J15&lt;&gt;"",J15,IF(I15&lt;&gt;"",I15,IF(H15&lt;&gt;"",H15,A15)))))</f>
        <v/>
      </c>
    </row>
    <row r="16" customFormat="false" ht="15" hidden="false" customHeight="false" outlineLevel="0" collapsed="false">
      <c r="A16" s="9"/>
      <c r="B16" s="9"/>
      <c r="C16" s="9"/>
      <c r="D16" s="9"/>
      <c r="E16" s="9"/>
      <c r="F16" s="10" t="str">
        <f aca="false">IF(A16="","",IF(K16&lt;&gt;"",IFERROR(IF(INDEX($E$2:$E$201,MATCH(K16,$A$2:$A$201,0))="",K16,INDEX($E$2:$E$201,MATCH(K16,$A$2:$A$201,0))),K16)&amp;"/","")&amp;IF(J16&lt;&gt;"",IFERROR(IF(INDEX($E$2:$E$201,MATCH(J16,$A$2:$A$201,0))="",J16,INDEX($E$2:$E$201,MATCH(J16,$A$2:$A$201,0))),J16)&amp;"/","")&amp;IF(I16&lt;&gt;"",IFERROR(IF(INDEX($E$2:$E$201,MATCH(I16,$A$2:$A$201,0))="",I16,INDEX($E$2:$E$201,MATCH(I16,$A$2:$A$201,0))),I16)&amp;"/","")&amp;IF(H16&lt;&gt;"",IFERROR(IF(INDEX($E$2:$E$201,MATCH(H16,$A$2:$A$201,0))="",H16,INDEX($E$2:$E$201,MATCH(H16,$A$2:$A$201,0))),H16)&amp;"/","")&amp;IF(E16="",A16,E16))</f>
        <v/>
      </c>
      <c r="G16" s="10" t="str">
        <f aca="false">IF(A16="","",IF(SUMPRODUCT(--EXACT($A$2:$A$201,A16))&gt;1,"Duplicate ID",IF(SUMPRODUCT(--EXACT('1 Types'!$A$2:$A$201,C16))=0,"Type is not on the Types sheet",IF(AND(D16&lt;&gt;"",NOT(SUMPRODUCT(--EXACT($A$2:$A$201,D16))&gt;0)),"Parent is not an asset",IF(AND(D16="",IFERROR(INDEX('1 Types'!$E$2:$E$201,MATCH(C16,'1 Types'!$A$2:$A$201,0)),"")&lt;&gt;"yes"),"Needs a parent",IF(OR(L16&lt;&gt;"",H16=A16,I16=A16,J16=A16,K16=A16),"Parent loop, or more than five levels","ok"))))))</f>
        <v/>
      </c>
      <c r="H16" s="10" t="str">
        <f aca="false">IF(A16="","",D16)</f>
        <v/>
      </c>
      <c r="I16" s="10" t="str">
        <f aca="false">IF(H16="","",IFERROR(INDEX($D$2:$D$201,MATCH(H16,$A$2:$A$201,0)),""))</f>
        <v/>
      </c>
      <c r="J16" s="10" t="str">
        <f aca="false">IF(I16="","",IFERROR(INDEX($D$2:$D$201,MATCH(I16,$A$2:$A$201,0)),""))</f>
        <v/>
      </c>
      <c r="K16" s="10" t="str">
        <f aca="false">IF(J16="","",IFERROR(INDEX($D$2:$D$201,MATCH(J16,$A$2:$A$201,0)),""))</f>
        <v/>
      </c>
      <c r="L16" s="10" t="str">
        <f aca="false">IF(K16="","",IFERROR(INDEX($D$2:$D$201,MATCH(K16,$A$2:$A$201,0)),""))</f>
        <v/>
      </c>
      <c r="M16" s="10" t="str">
        <f aca="false">IF(A16="","",IF(K16&lt;&gt;"",K16,IF(J16&lt;&gt;"",J16,IF(I16&lt;&gt;"",I16,IF(H16&lt;&gt;"",H16,A16)))))</f>
        <v/>
      </c>
    </row>
    <row r="17" customFormat="false" ht="15" hidden="false" customHeight="false" outlineLevel="0" collapsed="false">
      <c r="A17" s="9"/>
      <c r="B17" s="9"/>
      <c r="C17" s="9"/>
      <c r="D17" s="9"/>
      <c r="E17" s="9"/>
      <c r="F17" s="10" t="str">
        <f aca="false">IF(A17="","",IF(K17&lt;&gt;"",IFERROR(IF(INDEX($E$2:$E$201,MATCH(K17,$A$2:$A$201,0))="",K17,INDEX($E$2:$E$201,MATCH(K17,$A$2:$A$201,0))),K17)&amp;"/","")&amp;IF(J17&lt;&gt;"",IFERROR(IF(INDEX($E$2:$E$201,MATCH(J17,$A$2:$A$201,0))="",J17,INDEX($E$2:$E$201,MATCH(J17,$A$2:$A$201,0))),J17)&amp;"/","")&amp;IF(I17&lt;&gt;"",IFERROR(IF(INDEX($E$2:$E$201,MATCH(I17,$A$2:$A$201,0))="",I17,INDEX($E$2:$E$201,MATCH(I17,$A$2:$A$201,0))),I17)&amp;"/","")&amp;IF(H17&lt;&gt;"",IFERROR(IF(INDEX($E$2:$E$201,MATCH(H17,$A$2:$A$201,0))="",H17,INDEX($E$2:$E$201,MATCH(H17,$A$2:$A$201,0))),H17)&amp;"/","")&amp;IF(E17="",A17,E17))</f>
        <v/>
      </c>
      <c r="G17" s="10" t="str">
        <f aca="false">IF(A17="","",IF(SUMPRODUCT(--EXACT($A$2:$A$201,A17))&gt;1,"Duplicate ID",IF(SUMPRODUCT(--EXACT('1 Types'!$A$2:$A$201,C17))=0,"Type is not on the Types sheet",IF(AND(D17&lt;&gt;"",NOT(SUMPRODUCT(--EXACT($A$2:$A$201,D17))&gt;0)),"Parent is not an asset",IF(AND(D17="",IFERROR(INDEX('1 Types'!$E$2:$E$201,MATCH(C17,'1 Types'!$A$2:$A$201,0)),"")&lt;&gt;"yes"),"Needs a parent",IF(OR(L17&lt;&gt;"",H17=A17,I17=A17,J17=A17,K17=A17),"Parent loop, or more than five levels","ok"))))))</f>
        <v/>
      </c>
      <c r="H17" s="10" t="str">
        <f aca="false">IF(A17="","",D17)</f>
        <v/>
      </c>
      <c r="I17" s="10" t="str">
        <f aca="false">IF(H17="","",IFERROR(INDEX($D$2:$D$201,MATCH(H17,$A$2:$A$201,0)),""))</f>
        <v/>
      </c>
      <c r="J17" s="10" t="str">
        <f aca="false">IF(I17="","",IFERROR(INDEX($D$2:$D$201,MATCH(I17,$A$2:$A$201,0)),""))</f>
        <v/>
      </c>
      <c r="K17" s="10" t="str">
        <f aca="false">IF(J17="","",IFERROR(INDEX($D$2:$D$201,MATCH(J17,$A$2:$A$201,0)),""))</f>
        <v/>
      </c>
      <c r="L17" s="10" t="str">
        <f aca="false">IF(K17="","",IFERROR(INDEX($D$2:$D$201,MATCH(K17,$A$2:$A$201,0)),""))</f>
        <v/>
      </c>
      <c r="M17" s="10" t="str">
        <f aca="false">IF(A17="","",IF(K17&lt;&gt;"",K17,IF(J17&lt;&gt;"",J17,IF(I17&lt;&gt;"",I17,IF(H17&lt;&gt;"",H17,A17)))))</f>
        <v/>
      </c>
    </row>
    <row r="18" customFormat="false" ht="15" hidden="false" customHeight="false" outlineLevel="0" collapsed="false">
      <c r="A18" s="9"/>
      <c r="B18" s="9"/>
      <c r="C18" s="9"/>
      <c r="D18" s="9"/>
      <c r="E18" s="9"/>
      <c r="F18" s="10" t="str">
        <f aca="false">IF(A18="","",IF(K18&lt;&gt;"",IFERROR(IF(INDEX($E$2:$E$201,MATCH(K18,$A$2:$A$201,0))="",K18,INDEX($E$2:$E$201,MATCH(K18,$A$2:$A$201,0))),K18)&amp;"/","")&amp;IF(J18&lt;&gt;"",IFERROR(IF(INDEX($E$2:$E$201,MATCH(J18,$A$2:$A$201,0))="",J18,INDEX($E$2:$E$201,MATCH(J18,$A$2:$A$201,0))),J18)&amp;"/","")&amp;IF(I18&lt;&gt;"",IFERROR(IF(INDEX($E$2:$E$201,MATCH(I18,$A$2:$A$201,0))="",I18,INDEX($E$2:$E$201,MATCH(I18,$A$2:$A$201,0))),I18)&amp;"/","")&amp;IF(H18&lt;&gt;"",IFERROR(IF(INDEX($E$2:$E$201,MATCH(H18,$A$2:$A$201,0))="",H18,INDEX($E$2:$E$201,MATCH(H18,$A$2:$A$201,0))),H18)&amp;"/","")&amp;IF(E18="",A18,E18))</f>
        <v/>
      </c>
      <c r="G18" s="10" t="str">
        <f aca="false">IF(A18="","",IF(SUMPRODUCT(--EXACT($A$2:$A$201,A18))&gt;1,"Duplicate ID",IF(SUMPRODUCT(--EXACT('1 Types'!$A$2:$A$201,C18))=0,"Type is not on the Types sheet",IF(AND(D18&lt;&gt;"",NOT(SUMPRODUCT(--EXACT($A$2:$A$201,D18))&gt;0)),"Parent is not an asset",IF(AND(D18="",IFERROR(INDEX('1 Types'!$E$2:$E$201,MATCH(C18,'1 Types'!$A$2:$A$201,0)),"")&lt;&gt;"yes"),"Needs a parent",IF(OR(L18&lt;&gt;"",H18=A18,I18=A18,J18=A18,K18=A18),"Parent loop, or more than five levels","ok"))))))</f>
        <v/>
      </c>
      <c r="H18" s="10" t="str">
        <f aca="false">IF(A18="","",D18)</f>
        <v/>
      </c>
      <c r="I18" s="10" t="str">
        <f aca="false">IF(H18="","",IFERROR(INDEX($D$2:$D$201,MATCH(H18,$A$2:$A$201,0)),""))</f>
        <v/>
      </c>
      <c r="J18" s="10" t="str">
        <f aca="false">IF(I18="","",IFERROR(INDEX($D$2:$D$201,MATCH(I18,$A$2:$A$201,0)),""))</f>
        <v/>
      </c>
      <c r="K18" s="10" t="str">
        <f aca="false">IF(J18="","",IFERROR(INDEX($D$2:$D$201,MATCH(J18,$A$2:$A$201,0)),""))</f>
        <v/>
      </c>
      <c r="L18" s="10" t="str">
        <f aca="false">IF(K18="","",IFERROR(INDEX($D$2:$D$201,MATCH(K18,$A$2:$A$201,0)),""))</f>
        <v/>
      </c>
      <c r="M18" s="10" t="str">
        <f aca="false">IF(A18="","",IF(K18&lt;&gt;"",K18,IF(J18&lt;&gt;"",J18,IF(I18&lt;&gt;"",I18,IF(H18&lt;&gt;"",H18,A18)))))</f>
        <v/>
      </c>
    </row>
    <row r="19" customFormat="false" ht="15" hidden="false" customHeight="false" outlineLevel="0" collapsed="false">
      <c r="A19" s="9"/>
      <c r="B19" s="9"/>
      <c r="C19" s="9"/>
      <c r="D19" s="9"/>
      <c r="E19" s="9"/>
      <c r="F19" s="10" t="str">
        <f aca="false">IF(A19="","",IF(K19&lt;&gt;"",IFERROR(IF(INDEX($E$2:$E$201,MATCH(K19,$A$2:$A$201,0))="",K19,INDEX($E$2:$E$201,MATCH(K19,$A$2:$A$201,0))),K19)&amp;"/","")&amp;IF(J19&lt;&gt;"",IFERROR(IF(INDEX($E$2:$E$201,MATCH(J19,$A$2:$A$201,0))="",J19,INDEX($E$2:$E$201,MATCH(J19,$A$2:$A$201,0))),J19)&amp;"/","")&amp;IF(I19&lt;&gt;"",IFERROR(IF(INDEX($E$2:$E$201,MATCH(I19,$A$2:$A$201,0))="",I19,INDEX($E$2:$E$201,MATCH(I19,$A$2:$A$201,0))),I19)&amp;"/","")&amp;IF(H19&lt;&gt;"",IFERROR(IF(INDEX($E$2:$E$201,MATCH(H19,$A$2:$A$201,0))="",H19,INDEX($E$2:$E$201,MATCH(H19,$A$2:$A$201,0))),H19)&amp;"/","")&amp;IF(E19="",A19,E19))</f>
        <v/>
      </c>
      <c r="G19" s="10" t="str">
        <f aca="false">IF(A19="","",IF(SUMPRODUCT(--EXACT($A$2:$A$201,A19))&gt;1,"Duplicate ID",IF(SUMPRODUCT(--EXACT('1 Types'!$A$2:$A$201,C19))=0,"Type is not on the Types sheet",IF(AND(D19&lt;&gt;"",NOT(SUMPRODUCT(--EXACT($A$2:$A$201,D19))&gt;0)),"Parent is not an asset",IF(AND(D19="",IFERROR(INDEX('1 Types'!$E$2:$E$201,MATCH(C19,'1 Types'!$A$2:$A$201,0)),"")&lt;&gt;"yes"),"Needs a parent",IF(OR(L19&lt;&gt;"",H19=A19,I19=A19,J19=A19,K19=A19),"Parent loop, or more than five levels","ok"))))))</f>
        <v/>
      </c>
      <c r="H19" s="10" t="str">
        <f aca="false">IF(A19="","",D19)</f>
        <v/>
      </c>
      <c r="I19" s="10" t="str">
        <f aca="false">IF(H19="","",IFERROR(INDEX($D$2:$D$201,MATCH(H19,$A$2:$A$201,0)),""))</f>
        <v/>
      </c>
      <c r="J19" s="10" t="str">
        <f aca="false">IF(I19="","",IFERROR(INDEX($D$2:$D$201,MATCH(I19,$A$2:$A$201,0)),""))</f>
        <v/>
      </c>
      <c r="K19" s="10" t="str">
        <f aca="false">IF(J19="","",IFERROR(INDEX($D$2:$D$201,MATCH(J19,$A$2:$A$201,0)),""))</f>
        <v/>
      </c>
      <c r="L19" s="10" t="str">
        <f aca="false">IF(K19="","",IFERROR(INDEX($D$2:$D$201,MATCH(K19,$A$2:$A$201,0)),""))</f>
        <v/>
      </c>
      <c r="M19" s="10" t="str">
        <f aca="false">IF(A19="","",IF(K19&lt;&gt;"",K19,IF(J19&lt;&gt;"",J19,IF(I19&lt;&gt;"",I19,IF(H19&lt;&gt;"",H19,A19)))))</f>
        <v/>
      </c>
    </row>
    <row r="20" customFormat="false" ht="15" hidden="false" customHeight="false" outlineLevel="0" collapsed="false">
      <c r="A20" s="9"/>
      <c r="B20" s="9"/>
      <c r="C20" s="9"/>
      <c r="D20" s="9"/>
      <c r="E20" s="9"/>
      <c r="F20" s="10" t="str">
        <f aca="false">IF(A20="","",IF(K20&lt;&gt;"",IFERROR(IF(INDEX($E$2:$E$201,MATCH(K20,$A$2:$A$201,0))="",K20,INDEX($E$2:$E$201,MATCH(K20,$A$2:$A$201,0))),K20)&amp;"/","")&amp;IF(J20&lt;&gt;"",IFERROR(IF(INDEX($E$2:$E$201,MATCH(J20,$A$2:$A$201,0))="",J20,INDEX($E$2:$E$201,MATCH(J20,$A$2:$A$201,0))),J20)&amp;"/","")&amp;IF(I20&lt;&gt;"",IFERROR(IF(INDEX($E$2:$E$201,MATCH(I20,$A$2:$A$201,0))="",I20,INDEX($E$2:$E$201,MATCH(I20,$A$2:$A$201,0))),I20)&amp;"/","")&amp;IF(H20&lt;&gt;"",IFERROR(IF(INDEX($E$2:$E$201,MATCH(H20,$A$2:$A$201,0))="",H20,INDEX($E$2:$E$201,MATCH(H20,$A$2:$A$201,0))),H20)&amp;"/","")&amp;IF(E20="",A20,E20))</f>
        <v/>
      </c>
      <c r="G20" s="10" t="str">
        <f aca="false">IF(A20="","",IF(SUMPRODUCT(--EXACT($A$2:$A$201,A20))&gt;1,"Duplicate ID",IF(SUMPRODUCT(--EXACT('1 Types'!$A$2:$A$201,C20))=0,"Type is not on the Types sheet",IF(AND(D20&lt;&gt;"",NOT(SUMPRODUCT(--EXACT($A$2:$A$201,D20))&gt;0)),"Parent is not an asset",IF(AND(D20="",IFERROR(INDEX('1 Types'!$E$2:$E$201,MATCH(C20,'1 Types'!$A$2:$A$201,0)),"")&lt;&gt;"yes"),"Needs a parent",IF(OR(L20&lt;&gt;"",H20=A20,I20=A20,J20=A20,K20=A20),"Parent loop, or more than five levels","ok"))))))</f>
        <v/>
      </c>
      <c r="H20" s="10" t="str">
        <f aca="false">IF(A20="","",D20)</f>
        <v/>
      </c>
      <c r="I20" s="10" t="str">
        <f aca="false">IF(H20="","",IFERROR(INDEX($D$2:$D$201,MATCH(H20,$A$2:$A$201,0)),""))</f>
        <v/>
      </c>
      <c r="J20" s="10" t="str">
        <f aca="false">IF(I20="","",IFERROR(INDEX($D$2:$D$201,MATCH(I20,$A$2:$A$201,0)),""))</f>
        <v/>
      </c>
      <c r="K20" s="10" t="str">
        <f aca="false">IF(J20="","",IFERROR(INDEX($D$2:$D$201,MATCH(J20,$A$2:$A$201,0)),""))</f>
        <v/>
      </c>
      <c r="L20" s="10" t="str">
        <f aca="false">IF(K20="","",IFERROR(INDEX($D$2:$D$201,MATCH(K20,$A$2:$A$201,0)),""))</f>
        <v/>
      </c>
      <c r="M20" s="10" t="str">
        <f aca="false">IF(A20="","",IF(K20&lt;&gt;"",K20,IF(J20&lt;&gt;"",J20,IF(I20&lt;&gt;"",I20,IF(H20&lt;&gt;"",H20,A20)))))</f>
        <v/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10" t="str">
        <f aca="false">IF(A21="","",IF(K21&lt;&gt;"",IFERROR(IF(INDEX($E$2:$E$201,MATCH(K21,$A$2:$A$201,0))="",K21,INDEX($E$2:$E$201,MATCH(K21,$A$2:$A$201,0))),K21)&amp;"/","")&amp;IF(J21&lt;&gt;"",IFERROR(IF(INDEX($E$2:$E$201,MATCH(J21,$A$2:$A$201,0))="",J21,INDEX($E$2:$E$201,MATCH(J21,$A$2:$A$201,0))),J21)&amp;"/","")&amp;IF(I21&lt;&gt;"",IFERROR(IF(INDEX($E$2:$E$201,MATCH(I21,$A$2:$A$201,0))="",I21,INDEX($E$2:$E$201,MATCH(I21,$A$2:$A$201,0))),I21)&amp;"/","")&amp;IF(H21&lt;&gt;"",IFERROR(IF(INDEX($E$2:$E$201,MATCH(H21,$A$2:$A$201,0))="",H21,INDEX($E$2:$E$201,MATCH(H21,$A$2:$A$201,0))),H21)&amp;"/","")&amp;IF(E21="",A21,E21))</f>
        <v/>
      </c>
      <c r="G21" s="10" t="str">
        <f aca="false">IF(A21="","",IF(SUMPRODUCT(--EXACT($A$2:$A$201,A21))&gt;1,"Duplicate ID",IF(SUMPRODUCT(--EXACT('1 Types'!$A$2:$A$201,C21))=0,"Type is not on the Types sheet",IF(AND(D21&lt;&gt;"",NOT(SUMPRODUCT(--EXACT($A$2:$A$201,D21))&gt;0)),"Parent is not an asset",IF(AND(D21="",IFERROR(INDEX('1 Types'!$E$2:$E$201,MATCH(C21,'1 Types'!$A$2:$A$201,0)),"")&lt;&gt;"yes"),"Needs a parent",IF(OR(L21&lt;&gt;"",H21=A21,I21=A21,J21=A21,K21=A21),"Parent loop, or more than five levels","ok"))))))</f>
        <v/>
      </c>
      <c r="H21" s="10" t="str">
        <f aca="false">IF(A21="","",D21)</f>
        <v/>
      </c>
      <c r="I21" s="10" t="str">
        <f aca="false">IF(H21="","",IFERROR(INDEX($D$2:$D$201,MATCH(H21,$A$2:$A$201,0)),""))</f>
        <v/>
      </c>
      <c r="J21" s="10" t="str">
        <f aca="false">IF(I21="","",IFERROR(INDEX($D$2:$D$201,MATCH(I21,$A$2:$A$201,0)),""))</f>
        <v/>
      </c>
      <c r="K21" s="10" t="str">
        <f aca="false">IF(J21="","",IFERROR(INDEX($D$2:$D$201,MATCH(J21,$A$2:$A$201,0)),""))</f>
        <v/>
      </c>
      <c r="L21" s="10" t="str">
        <f aca="false">IF(K21="","",IFERROR(INDEX($D$2:$D$201,MATCH(K21,$A$2:$A$201,0)),""))</f>
        <v/>
      </c>
      <c r="M21" s="10" t="str">
        <f aca="false">IF(A21="","",IF(K21&lt;&gt;"",K21,IF(J21&lt;&gt;"",J21,IF(I21&lt;&gt;"",I21,IF(H21&lt;&gt;"",H21,A21)))))</f>
        <v/>
      </c>
    </row>
    <row r="22" customFormat="false" ht="15" hidden="false" customHeight="false" outlineLevel="0" collapsed="false">
      <c r="A22" s="9"/>
      <c r="B22" s="9"/>
      <c r="C22" s="9"/>
      <c r="D22" s="9"/>
      <c r="E22" s="9"/>
      <c r="F22" s="10" t="str">
        <f aca="false">IF(A22="","",IF(K22&lt;&gt;"",IFERROR(IF(INDEX($E$2:$E$201,MATCH(K22,$A$2:$A$201,0))="",K22,INDEX($E$2:$E$201,MATCH(K22,$A$2:$A$201,0))),K22)&amp;"/","")&amp;IF(J22&lt;&gt;"",IFERROR(IF(INDEX($E$2:$E$201,MATCH(J22,$A$2:$A$201,0))="",J22,INDEX($E$2:$E$201,MATCH(J22,$A$2:$A$201,0))),J22)&amp;"/","")&amp;IF(I22&lt;&gt;"",IFERROR(IF(INDEX($E$2:$E$201,MATCH(I22,$A$2:$A$201,0))="",I22,INDEX($E$2:$E$201,MATCH(I22,$A$2:$A$201,0))),I22)&amp;"/","")&amp;IF(H22&lt;&gt;"",IFERROR(IF(INDEX($E$2:$E$201,MATCH(H22,$A$2:$A$201,0))="",H22,INDEX($E$2:$E$201,MATCH(H22,$A$2:$A$201,0))),H22)&amp;"/","")&amp;IF(E22="",A22,E22))</f>
        <v/>
      </c>
      <c r="G22" s="10" t="str">
        <f aca="false">IF(A22="","",IF(SUMPRODUCT(--EXACT($A$2:$A$201,A22))&gt;1,"Duplicate ID",IF(SUMPRODUCT(--EXACT('1 Types'!$A$2:$A$201,C22))=0,"Type is not on the Types sheet",IF(AND(D22&lt;&gt;"",NOT(SUMPRODUCT(--EXACT($A$2:$A$201,D22))&gt;0)),"Parent is not an asset",IF(AND(D22="",IFERROR(INDEX('1 Types'!$E$2:$E$201,MATCH(C22,'1 Types'!$A$2:$A$201,0)),"")&lt;&gt;"yes"),"Needs a parent",IF(OR(L22&lt;&gt;"",H22=A22,I22=A22,J22=A22,K22=A22),"Parent loop, or more than five levels","ok"))))))</f>
        <v/>
      </c>
      <c r="H22" s="10" t="str">
        <f aca="false">IF(A22="","",D22)</f>
        <v/>
      </c>
      <c r="I22" s="10" t="str">
        <f aca="false">IF(H22="","",IFERROR(INDEX($D$2:$D$201,MATCH(H22,$A$2:$A$201,0)),""))</f>
        <v/>
      </c>
      <c r="J22" s="10" t="str">
        <f aca="false">IF(I22="","",IFERROR(INDEX($D$2:$D$201,MATCH(I22,$A$2:$A$201,0)),""))</f>
        <v/>
      </c>
      <c r="K22" s="10" t="str">
        <f aca="false">IF(J22="","",IFERROR(INDEX($D$2:$D$201,MATCH(J22,$A$2:$A$201,0)),""))</f>
        <v/>
      </c>
      <c r="L22" s="10" t="str">
        <f aca="false">IF(K22="","",IFERROR(INDEX($D$2:$D$201,MATCH(K22,$A$2:$A$201,0)),""))</f>
        <v/>
      </c>
      <c r="M22" s="10" t="str">
        <f aca="false">IF(A22="","",IF(K22&lt;&gt;"",K22,IF(J22&lt;&gt;"",J22,IF(I22&lt;&gt;"",I22,IF(H22&lt;&gt;"",H22,A22)))))</f>
        <v/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10" t="str">
        <f aca="false">IF(A23="","",IF(K23&lt;&gt;"",IFERROR(IF(INDEX($E$2:$E$201,MATCH(K23,$A$2:$A$201,0))="",K23,INDEX($E$2:$E$201,MATCH(K23,$A$2:$A$201,0))),K23)&amp;"/","")&amp;IF(J23&lt;&gt;"",IFERROR(IF(INDEX($E$2:$E$201,MATCH(J23,$A$2:$A$201,0))="",J23,INDEX($E$2:$E$201,MATCH(J23,$A$2:$A$201,0))),J23)&amp;"/","")&amp;IF(I23&lt;&gt;"",IFERROR(IF(INDEX($E$2:$E$201,MATCH(I23,$A$2:$A$201,0))="",I23,INDEX($E$2:$E$201,MATCH(I23,$A$2:$A$201,0))),I23)&amp;"/","")&amp;IF(H23&lt;&gt;"",IFERROR(IF(INDEX($E$2:$E$201,MATCH(H23,$A$2:$A$201,0))="",H23,INDEX($E$2:$E$201,MATCH(H23,$A$2:$A$201,0))),H23)&amp;"/","")&amp;IF(E23="",A23,E23))</f>
        <v/>
      </c>
      <c r="G23" s="10" t="str">
        <f aca="false">IF(A23="","",IF(SUMPRODUCT(--EXACT($A$2:$A$201,A23))&gt;1,"Duplicate ID",IF(SUMPRODUCT(--EXACT('1 Types'!$A$2:$A$201,C23))=0,"Type is not on the Types sheet",IF(AND(D23&lt;&gt;"",NOT(SUMPRODUCT(--EXACT($A$2:$A$201,D23))&gt;0)),"Parent is not an asset",IF(AND(D23="",IFERROR(INDEX('1 Types'!$E$2:$E$201,MATCH(C23,'1 Types'!$A$2:$A$201,0)),"")&lt;&gt;"yes"),"Needs a parent",IF(OR(L23&lt;&gt;"",H23=A23,I23=A23,J23=A23,K23=A23),"Parent loop, or more than five levels","ok"))))))</f>
        <v/>
      </c>
      <c r="H23" s="10" t="str">
        <f aca="false">IF(A23="","",D23)</f>
        <v/>
      </c>
      <c r="I23" s="10" t="str">
        <f aca="false">IF(H23="","",IFERROR(INDEX($D$2:$D$201,MATCH(H23,$A$2:$A$201,0)),""))</f>
        <v/>
      </c>
      <c r="J23" s="10" t="str">
        <f aca="false">IF(I23="","",IFERROR(INDEX($D$2:$D$201,MATCH(I23,$A$2:$A$201,0)),""))</f>
        <v/>
      </c>
      <c r="K23" s="10" t="str">
        <f aca="false">IF(J23="","",IFERROR(INDEX($D$2:$D$201,MATCH(J23,$A$2:$A$201,0)),""))</f>
        <v/>
      </c>
      <c r="L23" s="10" t="str">
        <f aca="false">IF(K23="","",IFERROR(INDEX($D$2:$D$201,MATCH(K23,$A$2:$A$201,0)),""))</f>
        <v/>
      </c>
      <c r="M23" s="10" t="str">
        <f aca="false">IF(A23="","",IF(K23&lt;&gt;"",K23,IF(J23&lt;&gt;"",J23,IF(I23&lt;&gt;"",I23,IF(H23&lt;&gt;"",H23,A23)))))</f>
        <v/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10" t="str">
        <f aca="false">IF(A24="","",IF(K24&lt;&gt;"",IFERROR(IF(INDEX($E$2:$E$201,MATCH(K24,$A$2:$A$201,0))="",K24,INDEX($E$2:$E$201,MATCH(K24,$A$2:$A$201,0))),K24)&amp;"/","")&amp;IF(J24&lt;&gt;"",IFERROR(IF(INDEX($E$2:$E$201,MATCH(J24,$A$2:$A$201,0))="",J24,INDEX($E$2:$E$201,MATCH(J24,$A$2:$A$201,0))),J24)&amp;"/","")&amp;IF(I24&lt;&gt;"",IFERROR(IF(INDEX($E$2:$E$201,MATCH(I24,$A$2:$A$201,0))="",I24,INDEX($E$2:$E$201,MATCH(I24,$A$2:$A$201,0))),I24)&amp;"/","")&amp;IF(H24&lt;&gt;"",IFERROR(IF(INDEX($E$2:$E$201,MATCH(H24,$A$2:$A$201,0))="",H24,INDEX($E$2:$E$201,MATCH(H24,$A$2:$A$201,0))),H24)&amp;"/","")&amp;IF(E24="",A24,E24))</f>
        <v/>
      </c>
      <c r="G24" s="10" t="str">
        <f aca="false">IF(A24="","",IF(SUMPRODUCT(--EXACT($A$2:$A$201,A24))&gt;1,"Duplicate ID",IF(SUMPRODUCT(--EXACT('1 Types'!$A$2:$A$201,C24))=0,"Type is not on the Types sheet",IF(AND(D24&lt;&gt;"",NOT(SUMPRODUCT(--EXACT($A$2:$A$201,D24))&gt;0)),"Parent is not an asset",IF(AND(D24="",IFERROR(INDEX('1 Types'!$E$2:$E$201,MATCH(C24,'1 Types'!$A$2:$A$201,0)),"")&lt;&gt;"yes"),"Needs a parent",IF(OR(L24&lt;&gt;"",H24=A24,I24=A24,J24=A24,K24=A24),"Parent loop, or more than five levels","ok"))))))</f>
        <v/>
      </c>
      <c r="H24" s="10" t="str">
        <f aca="false">IF(A24="","",D24)</f>
        <v/>
      </c>
      <c r="I24" s="10" t="str">
        <f aca="false">IF(H24="","",IFERROR(INDEX($D$2:$D$201,MATCH(H24,$A$2:$A$201,0)),""))</f>
        <v/>
      </c>
      <c r="J24" s="10" t="str">
        <f aca="false">IF(I24="","",IFERROR(INDEX($D$2:$D$201,MATCH(I24,$A$2:$A$201,0)),""))</f>
        <v/>
      </c>
      <c r="K24" s="10" t="str">
        <f aca="false">IF(J24="","",IFERROR(INDEX($D$2:$D$201,MATCH(J24,$A$2:$A$201,0)),""))</f>
        <v/>
      </c>
      <c r="L24" s="10" t="str">
        <f aca="false">IF(K24="","",IFERROR(INDEX($D$2:$D$201,MATCH(K24,$A$2:$A$201,0)),""))</f>
        <v/>
      </c>
      <c r="M24" s="10" t="str">
        <f aca="false">IF(A24="","",IF(K24&lt;&gt;"",K24,IF(J24&lt;&gt;"",J24,IF(I24&lt;&gt;"",I24,IF(H24&lt;&gt;"",H24,A24)))))</f>
        <v/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10" t="str">
        <f aca="false">IF(A25="","",IF(K25&lt;&gt;"",IFERROR(IF(INDEX($E$2:$E$201,MATCH(K25,$A$2:$A$201,0))="",K25,INDEX($E$2:$E$201,MATCH(K25,$A$2:$A$201,0))),K25)&amp;"/","")&amp;IF(J25&lt;&gt;"",IFERROR(IF(INDEX($E$2:$E$201,MATCH(J25,$A$2:$A$201,0))="",J25,INDEX($E$2:$E$201,MATCH(J25,$A$2:$A$201,0))),J25)&amp;"/","")&amp;IF(I25&lt;&gt;"",IFERROR(IF(INDEX($E$2:$E$201,MATCH(I25,$A$2:$A$201,0))="",I25,INDEX($E$2:$E$201,MATCH(I25,$A$2:$A$201,0))),I25)&amp;"/","")&amp;IF(H25&lt;&gt;"",IFERROR(IF(INDEX($E$2:$E$201,MATCH(H25,$A$2:$A$201,0))="",H25,INDEX($E$2:$E$201,MATCH(H25,$A$2:$A$201,0))),H25)&amp;"/","")&amp;IF(E25="",A25,E25))</f>
        <v/>
      </c>
      <c r="G25" s="10" t="str">
        <f aca="false">IF(A25="","",IF(SUMPRODUCT(--EXACT($A$2:$A$201,A25))&gt;1,"Duplicate ID",IF(SUMPRODUCT(--EXACT('1 Types'!$A$2:$A$201,C25))=0,"Type is not on the Types sheet",IF(AND(D25&lt;&gt;"",NOT(SUMPRODUCT(--EXACT($A$2:$A$201,D25))&gt;0)),"Parent is not an asset",IF(AND(D25="",IFERROR(INDEX('1 Types'!$E$2:$E$201,MATCH(C25,'1 Types'!$A$2:$A$201,0)),"")&lt;&gt;"yes"),"Needs a parent",IF(OR(L25&lt;&gt;"",H25=A25,I25=A25,J25=A25,K25=A25),"Parent loop, or more than five levels","ok"))))))</f>
        <v/>
      </c>
      <c r="H25" s="10" t="str">
        <f aca="false">IF(A25="","",D25)</f>
        <v/>
      </c>
      <c r="I25" s="10" t="str">
        <f aca="false">IF(H25="","",IFERROR(INDEX($D$2:$D$201,MATCH(H25,$A$2:$A$201,0)),""))</f>
        <v/>
      </c>
      <c r="J25" s="10" t="str">
        <f aca="false">IF(I25="","",IFERROR(INDEX($D$2:$D$201,MATCH(I25,$A$2:$A$201,0)),""))</f>
        <v/>
      </c>
      <c r="K25" s="10" t="str">
        <f aca="false">IF(J25="","",IFERROR(INDEX($D$2:$D$201,MATCH(J25,$A$2:$A$201,0)),""))</f>
        <v/>
      </c>
      <c r="L25" s="10" t="str">
        <f aca="false">IF(K25="","",IFERROR(INDEX($D$2:$D$201,MATCH(K25,$A$2:$A$201,0)),""))</f>
        <v/>
      </c>
      <c r="M25" s="10" t="str">
        <f aca="false">IF(A25="","",IF(K25&lt;&gt;"",K25,IF(J25&lt;&gt;"",J25,IF(I25&lt;&gt;"",I25,IF(H25&lt;&gt;"",H25,A25)))))</f>
        <v/>
      </c>
    </row>
    <row r="26" customFormat="false" ht="15" hidden="false" customHeight="false" outlineLevel="0" collapsed="false">
      <c r="A26" s="9"/>
      <c r="B26" s="9"/>
      <c r="C26" s="9"/>
      <c r="D26" s="9"/>
      <c r="E26" s="9"/>
      <c r="F26" s="10" t="str">
        <f aca="false">IF(A26="","",IF(K26&lt;&gt;"",IFERROR(IF(INDEX($E$2:$E$201,MATCH(K26,$A$2:$A$201,0))="",K26,INDEX($E$2:$E$201,MATCH(K26,$A$2:$A$201,0))),K26)&amp;"/","")&amp;IF(J26&lt;&gt;"",IFERROR(IF(INDEX($E$2:$E$201,MATCH(J26,$A$2:$A$201,0))="",J26,INDEX($E$2:$E$201,MATCH(J26,$A$2:$A$201,0))),J26)&amp;"/","")&amp;IF(I26&lt;&gt;"",IFERROR(IF(INDEX($E$2:$E$201,MATCH(I26,$A$2:$A$201,0))="",I26,INDEX($E$2:$E$201,MATCH(I26,$A$2:$A$201,0))),I26)&amp;"/","")&amp;IF(H26&lt;&gt;"",IFERROR(IF(INDEX($E$2:$E$201,MATCH(H26,$A$2:$A$201,0))="",H26,INDEX($E$2:$E$201,MATCH(H26,$A$2:$A$201,0))),H26)&amp;"/","")&amp;IF(E26="",A26,E26))</f>
        <v/>
      </c>
      <c r="G26" s="10" t="str">
        <f aca="false">IF(A26="","",IF(SUMPRODUCT(--EXACT($A$2:$A$201,A26))&gt;1,"Duplicate ID",IF(SUMPRODUCT(--EXACT('1 Types'!$A$2:$A$201,C26))=0,"Type is not on the Types sheet",IF(AND(D26&lt;&gt;"",NOT(SUMPRODUCT(--EXACT($A$2:$A$201,D26))&gt;0)),"Parent is not an asset",IF(AND(D26="",IFERROR(INDEX('1 Types'!$E$2:$E$201,MATCH(C26,'1 Types'!$A$2:$A$201,0)),"")&lt;&gt;"yes"),"Needs a parent",IF(OR(L26&lt;&gt;"",H26=A26,I26=A26,J26=A26,K26=A26),"Parent loop, or more than five levels","ok"))))))</f>
        <v/>
      </c>
      <c r="H26" s="10" t="str">
        <f aca="false">IF(A26="","",D26)</f>
        <v/>
      </c>
      <c r="I26" s="10" t="str">
        <f aca="false">IF(H26="","",IFERROR(INDEX($D$2:$D$201,MATCH(H26,$A$2:$A$201,0)),""))</f>
        <v/>
      </c>
      <c r="J26" s="10" t="str">
        <f aca="false">IF(I26="","",IFERROR(INDEX($D$2:$D$201,MATCH(I26,$A$2:$A$201,0)),""))</f>
        <v/>
      </c>
      <c r="K26" s="10" t="str">
        <f aca="false">IF(J26="","",IFERROR(INDEX($D$2:$D$201,MATCH(J26,$A$2:$A$201,0)),""))</f>
        <v/>
      </c>
      <c r="L26" s="10" t="str">
        <f aca="false">IF(K26="","",IFERROR(INDEX($D$2:$D$201,MATCH(K26,$A$2:$A$201,0)),""))</f>
        <v/>
      </c>
      <c r="M26" s="10" t="str">
        <f aca="false">IF(A26="","",IF(K26&lt;&gt;"",K26,IF(J26&lt;&gt;"",J26,IF(I26&lt;&gt;"",I26,IF(H26&lt;&gt;"",H26,A26)))))</f>
        <v/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10" t="str">
        <f aca="false">IF(A27="","",IF(K27&lt;&gt;"",IFERROR(IF(INDEX($E$2:$E$201,MATCH(K27,$A$2:$A$201,0))="",K27,INDEX($E$2:$E$201,MATCH(K27,$A$2:$A$201,0))),K27)&amp;"/","")&amp;IF(J27&lt;&gt;"",IFERROR(IF(INDEX($E$2:$E$201,MATCH(J27,$A$2:$A$201,0))="",J27,INDEX($E$2:$E$201,MATCH(J27,$A$2:$A$201,0))),J27)&amp;"/","")&amp;IF(I27&lt;&gt;"",IFERROR(IF(INDEX($E$2:$E$201,MATCH(I27,$A$2:$A$201,0))="",I27,INDEX($E$2:$E$201,MATCH(I27,$A$2:$A$201,0))),I27)&amp;"/","")&amp;IF(H27&lt;&gt;"",IFERROR(IF(INDEX($E$2:$E$201,MATCH(H27,$A$2:$A$201,0))="",H27,INDEX($E$2:$E$201,MATCH(H27,$A$2:$A$201,0))),H27)&amp;"/","")&amp;IF(E27="",A27,E27))</f>
        <v/>
      </c>
      <c r="G27" s="10" t="str">
        <f aca="false">IF(A27="","",IF(SUMPRODUCT(--EXACT($A$2:$A$201,A27))&gt;1,"Duplicate ID",IF(SUMPRODUCT(--EXACT('1 Types'!$A$2:$A$201,C27))=0,"Type is not on the Types sheet",IF(AND(D27&lt;&gt;"",NOT(SUMPRODUCT(--EXACT($A$2:$A$201,D27))&gt;0)),"Parent is not an asset",IF(AND(D27="",IFERROR(INDEX('1 Types'!$E$2:$E$201,MATCH(C27,'1 Types'!$A$2:$A$201,0)),"")&lt;&gt;"yes"),"Needs a parent",IF(OR(L27&lt;&gt;"",H27=A27,I27=A27,J27=A27,K27=A27),"Parent loop, or more than five levels","ok"))))))</f>
        <v/>
      </c>
      <c r="H27" s="10" t="str">
        <f aca="false">IF(A27="","",D27)</f>
        <v/>
      </c>
      <c r="I27" s="10" t="str">
        <f aca="false">IF(H27="","",IFERROR(INDEX($D$2:$D$201,MATCH(H27,$A$2:$A$201,0)),""))</f>
        <v/>
      </c>
      <c r="J27" s="10" t="str">
        <f aca="false">IF(I27="","",IFERROR(INDEX($D$2:$D$201,MATCH(I27,$A$2:$A$201,0)),""))</f>
        <v/>
      </c>
      <c r="K27" s="10" t="str">
        <f aca="false">IF(J27="","",IFERROR(INDEX($D$2:$D$201,MATCH(J27,$A$2:$A$201,0)),""))</f>
        <v/>
      </c>
      <c r="L27" s="10" t="str">
        <f aca="false">IF(K27="","",IFERROR(INDEX($D$2:$D$201,MATCH(K27,$A$2:$A$201,0)),""))</f>
        <v/>
      </c>
      <c r="M27" s="10" t="str">
        <f aca="false">IF(A27="","",IF(K27&lt;&gt;"",K27,IF(J27&lt;&gt;"",J27,IF(I27&lt;&gt;"",I27,IF(H27&lt;&gt;"",H27,A27)))))</f>
        <v/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10" t="str">
        <f aca="false">IF(A28="","",IF(K28&lt;&gt;"",IFERROR(IF(INDEX($E$2:$E$201,MATCH(K28,$A$2:$A$201,0))="",K28,INDEX($E$2:$E$201,MATCH(K28,$A$2:$A$201,0))),K28)&amp;"/","")&amp;IF(J28&lt;&gt;"",IFERROR(IF(INDEX($E$2:$E$201,MATCH(J28,$A$2:$A$201,0))="",J28,INDEX($E$2:$E$201,MATCH(J28,$A$2:$A$201,0))),J28)&amp;"/","")&amp;IF(I28&lt;&gt;"",IFERROR(IF(INDEX($E$2:$E$201,MATCH(I28,$A$2:$A$201,0))="",I28,INDEX($E$2:$E$201,MATCH(I28,$A$2:$A$201,0))),I28)&amp;"/","")&amp;IF(H28&lt;&gt;"",IFERROR(IF(INDEX($E$2:$E$201,MATCH(H28,$A$2:$A$201,0))="",H28,INDEX($E$2:$E$201,MATCH(H28,$A$2:$A$201,0))),H28)&amp;"/","")&amp;IF(E28="",A28,E28))</f>
        <v/>
      </c>
      <c r="G28" s="10" t="str">
        <f aca="false">IF(A28="","",IF(SUMPRODUCT(--EXACT($A$2:$A$201,A28))&gt;1,"Duplicate ID",IF(SUMPRODUCT(--EXACT('1 Types'!$A$2:$A$201,C28))=0,"Type is not on the Types sheet",IF(AND(D28&lt;&gt;"",NOT(SUMPRODUCT(--EXACT($A$2:$A$201,D28))&gt;0)),"Parent is not an asset",IF(AND(D28="",IFERROR(INDEX('1 Types'!$E$2:$E$201,MATCH(C28,'1 Types'!$A$2:$A$201,0)),"")&lt;&gt;"yes"),"Needs a parent",IF(OR(L28&lt;&gt;"",H28=A28,I28=A28,J28=A28,K28=A28),"Parent loop, or more than five levels","ok"))))))</f>
        <v/>
      </c>
      <c r="H28" s="10" t="str">
        <f aca="false">IF(A28="","",D28)</f>
        <v/>
      </c>
      <c r="I28" s="10" t="str">
        <f aca="false">IF(H28="","",IFERROR(INDEX($D$2:$D$201,MATCH(H28,$A$2:$A$201,0)),""))</f>
        <v/>
      </c>
      <c r="J28" s="10" t="str">
        <f aca="false">IF(I28="","",IFERROR(INDEX($D$2:$D$201,MATCH(I28,$A$2:$A$201,0)),""))</f>
        <v/>
      </c>
      <c r="K28" s="10" t="str">
        <f aca="false">IF(J28="","",IFERROR(INDEX($D$2:$D$201,MATCH(J28,$A$2:$A$201,0)),""))</f>
        <v/>
      </c>
      <c r="L28" s="10" t="str">
        <f aca="false">IF(K28="","",IFERROR(INDEX($D$2:$D$201,MATCH(K28,$A$2:$A$201,0)),""))</f>
        <v/>
      </c>
      <c r="M28" s="10" t="str">
        <f aca="false">IF(A28="","",IF(K28&lt;&gt;"",K28,IF(J28&lt;&gt;"",J28,IF(I28&lt;&gt;"",I28,IF(H28&lt;&gt;"",H28,A28)))))</f>
        <v/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10" t="str">
        <f aca="false">IF(A29="","",IF(K29&lt;&gt;"",IFERROR(IF(INDEX($E$2:$E$201,MATCH(K29,$A$2:$A$201,0))="",K29,INDEX($E$2:$E$201,MATCH(K29,$A$2:$A$201,0))),K29)&amp;"/","")&amp;IF(J29&lt;&gt;"",IFERROR(IF(INDEX($E$2:$E$201,MATCH(J29,$A$2:$A$201,0))="",J29,INDEX($E$2:$E$201,MATCH(J29,$A$2:$A$201,0))),J29)&amp;"/","")&amp;IF(I29&lt;&gt;"",IFERROR(IF(INDEX($E$2:$E$201,MATCH(I29,$A$2:$A$201,0))="",I29,INDEX($E$2:$E$201,MATCH(I29,$A$2:$A$201,0))),I29)&amp;"/","")&amp;IF(H29&lt;&gt;"",IFERROR(IF(INDEX($E$2:$E$201,MATCH(H29,$A$2:$A$201,0))="",H29,INDEX($E$2:$E$201,MATCH(H29,$A$2:$A$201,0))),H29)&amp;"/","")&amp;IF(E29="",A29,E29))</f>
        <v/>
      </c>
      <c r="G29" s="10" t="str">
        <f aca="false">IF(A29="","",IF(SUMPRODUCT(--EXACT($A$2:$A$201,A29))&gt;1,"Duplicate ID",IF(SUMPRODUCT(--EXACT('1 Types'!$A$2:$A$201,C29))=0,"Type is not on the Types sheet",IF(AND(D29&lt;&gt;"",NOT(SUMPRODUCT(--EXACT($A$2:$A$201,D29))&gt;0)),"Parent is not an asset",IF(AND(D29="",IFERROR(INDEX('1 Types'!$E$2:$E$201,MATCH(C29,'1 Types'!$A$2:$A$201,0)),"")&lt;&gt;"yes"),"Needs a parent",IF(OR(L29&lt;&gt;"",H29=A29,I29=A29,J29=A29,K29=A29),"Parent loop, or more than five levels","ok"))))))</f>
        <v/>
      </c>
      <c r="H29" s="10" t="str">
        <f aca="false">IF(A29="","",D29)</f>
        <v/>
      </c>
      <c r="I29" s="10" t="str">
        <f aca="false">IF(H29="","",IFERROR(INDEX($D$2:$D$201,MATCH(H29,$A$2:$A$201,0)),""))</f>
        <v/>
      </c>
      <c r="J29" s="10" t="str">
        <f aca="false">IF(I29="","",IFERROR(INDEX($D$2:$D$201,MATCH(I29,$A$2:$A$201,0)),""))</f>
        <v/>
      </c>
      <c r="K29" s="10" t="str">
        <f aca="false">IF(J29="","",IFERROR(INDEX($D$2:$D$201,MATCH(J29,$A$2:$A$201,0)),""))</f>
        <v/>
      </c>
      <c r="L29" s="10" t="str">
        <f aca="false">IF(K29="","",IFERROR(INDEX($D$2:$D$201,MATCH(K29,$A$2:$A$201,0)),""))</f>
        <v/>
      </c>
      <c r="M29" s="10" t="str">
        <f aca="false">IF(A29="","",IF(K29&lt;&gt;"",K29,IF(J29&lt;&gt;"",J29,IF(I29&lt;&gt;"",I29,IF(H29&lt;&gt;"",H29,A29)))))</f>
        <v/>
      </c>
    </row>
    <row r="30" customFormat="false" ht="15" hidden="false" customHeight="false" outlineLevel="0" collapsed="false">
      <c r="A30" s="9"/>
      <c r="B30" s="9"/>
      <c r="C30" s="9"/>
      <c r="D30" s="9"/>
      <c r="E30" s="9"/>
      <c r="F30" s="10" t="str">
        <f aca="false">IF(A30="","",IF(K30&lt;&gt;"",IFERROR(IF(INDEX($E$2:$E$201,MATCH(K30,$A$2:$A$201,0))="",K30,INDEX($E$2:$E$201,MATCH(K30,$A$2:$A$201,0))),K30)&amp;"/","")&amp;IF(J30&lt;&gt;"",IFERROR(IF(INDEX($E$2:$E$201,MATCH(J30,$A$2:$A$201,0))="",J30,INDEX($E$2:$E$201,MATCH(J30,$A$2:$A$201,0))),J30)&amp;"/","")&amp;IF(I30&lt;&gt;"",IFERROR(IF(INDEX($E$2:$E$201,MATCH(I30,$A$2:$A$201,0))="",I30,INDEX($E$2:$E$201,MATCH(I30,$A$2:$A$201,0))),I30)&amp;"/","")&amp;IF(H30&lt;&gt;"",IFERROR(IF(INDEX($E$2:$E$201,MATCH(H30,$A$2:$A$201,0))="",H30,INDEX($E$2:$E$201,MATCH(H30,$A$2:$A$201,0))),H30)&amp;"/","")&amp;IF(E30="",A30,E30))</f>
        <v/>
      </c>
      <c r="G30" s="10" t="str">
        <f aca="false">IF(A30="","",IF(SUMPRODUCT(--EXACT($A$2:$A$201,A30))&gt;1,"Duplicate ID",IF(SUMPRODUCT(--EXACT('1 Types'!$A$2:$A$201,C30))=0,"Type is not on the Types sheet",IF(AND(D30&lt;&gt;"",NOT(SUMPRODUCT(--EXACT($A$2:$A$201,D30))&gt;0)),"Parent is not an asset",IF(AND(D30="",IFERROR(INDEX('1 Types'!$E$2:$E$201,MATCH(C30,'1 Types'!$A$2:$A$201,0)),"")&lt;&gt;"yes"),"Needs a parent",IF(OR(L30&lt;&gt;"",H30=A30,I30=A30,J30=A30,K30=A30),"Parent loop, or more than five levels","ok"))))))</f>
        <v/>
      </c>
      <c r="H30" s="10" t="str">
        <f aca="false">IF(A30="","",D30)</f>
        <v/>
      </c>
      <c r="I30" s="10" t="str">
        <f aca="false">IF(H30="","",IFERROR(INDEX($D$2:$D$201,MATCH(H30,$A$2:$A$201,0)),""))</f>
        <v/>
      </c>
      <c r="J30" s="10" t="str">
        <f aca="false">IF(I30="","",IFERROR(INDEX($D$2:$D$201,MATCH(I30,$A$2:$A$201,0)),""))</f>
        <v/>
      </c>
      <c r="K30" s="10" t="str">
        <f aca="false">IF(J30="","",IFERROR(INDEX($D$2:$D$201,MATCH(J30,$A$2:$A$201,0)),""))</f>
        <v/>
      </c>
      <c r="L30" s="10" t="str">
        <f aca="false">IF(K30="","",IFERROR(INDEX($D$2:$D$201,MATCH(K30,$A$2:$A$201,0)),""))</f>
        <v/>
      </c>
      <c r="M30" s="10" t="str">
        <f aca="false">IF(A30="","",IF(K30&lt;&gt;"",K30,IF(J30&lt;&gt;"",J30,IF(I30&lt;&gt;"",I30,IF(H30&lt;&gt;"",H30,A30)))))</f>
        <v/>
      </c>
    </row>
    <row r="31" customFormat="false" ht="15" hidden="false" customHeight="false" outlineLevel="0" collapsed="false">
      <c r="A31" s="9"/>
      <c r="B31" s="9"/>
      <c r="C31" s="9"/>
      <c r="D31" s="9"/>
      <c r="E31" s="9"/>
      <c r="F31" s="10" t="str">
        <f aca="false">IF(A31="","",IF(K31&lt;&gt;"",IFERROR(IF(INDEX($E$2:$E$201,MATCH(K31,$A$2:$A$201,0))="",K31,INDEX($E$2:$E$201,MATCH(K31,$A$2:$A$201,0))),K31)&amp;"/","")&amp;IF(J31&lt;&gt;"",IFERROR(IF(INDEX($E$2:$E$201,MATCH(J31,$A$2:$A$201,0))="",J31,INDEX($E$2:$E$201,MATCH(J31,$A$2:$A$201,0))),J31)&amp;"/","")&amp;IF(I31&lt;&gt;"",IFERROR(IF(INDEX($E$2:$E$201,MATCH(I31,$A$2:$A$201,0))="",I31,INDEX($E$2:$E$201,MATCH(I31,$A$2:$A$201,0))),I31)&amp;"/","")&amp;IF(H31&lt;&gt;"",IFERROR(IF(INDEX($E$2:$E$201,MATCH(H31,$A$2:$A$201,0))="",H31,INDEX($E$2:$E$201,MATCH(H31,$A$2:$A$201,0))),H31)&amp;"/","")&amp;IF(E31="",A31,E31))</f>
        <v/>
      </c>
      <c r="G31" s="10" t="str">
        <f aca="false">IF(A31="","",IF(SUMPRODUCT(--EXACT($A$2:$A$201,A31))&gt;1,"Duplicate ID",IF(SUMPRODUCT(--EXACT('1 Types'!$A$2:$A$201,C31))=0,"Type is not on the Types sheet",IF(AND(D31&lt;&gt;"",NOT(SUMPRODUCT(--EXACT($A$2:$A$201,D31))&gt;0)),"Parent is not an asset",IF(AND(D31="",IFERROR(INDEX('1 Types'!$E$2:$E$201,MATCH(C31,'1 Types'!$A$2:$A$201,0)),"")&lt;&gt;"yes"),"Needs a parent",IF(OR(L31&lt;&gt;"",H31=A31,I31=A31,J31=A31,K31=A31),"Parent loop, or more than five levels","ok"))))))</f>
        <v/>
      </c>
      <c r="H31" s="10" t="str">
        <f aca="false">IF(A31="","",D31)</f>
        <v/>
      </c>
      <c r="I31" s="10" t="str">
        <f aca="false">IF(H31="","",IFERROR(INDEX($D$2:$D$201,MATCH(H31,$A$2:$A$201,0)),""))</f>
        <v/>
      </c>
      <c r="J31" s="10" t="str">
        <f aca="false">IF(I31="","",IFERROR(INDEX($D$2:$D$201,MATCH(I31,$A$2:$A$201,0)),""))</f>
        <v/>
      </c>
      <c r="K31" s="10" t="str">
        <f aca="false">IF(J31="","",IFERROR(INDEX($D$2:$D$201,MATCH(J31,$A$2:$A$201,0)),""))</f>
        <v/>
      </c>
      <c r="L31" s="10" t="str">
        <f aca="false">IF(K31="","",IFERROR(INDEX($D$2:$D$201,MATCH(K31,$A$2:$A$201,0)),""))</f>
        <v/>
      </c>
      <c r="M31" s="10" t="str">
        <f aca="false">IF(A31="","",IF(K31&lt;&gt;"",K31,IF(J31&lt;&gt;"",J31,IF(I31&lt;&gt;"",I31,IF(H31&lt;&gt;"",H31,A31)))))</f>
        <v/>
      </c>
    </row>
    <row r="32" customFormat="false" ht="15" hidden="false" customHeight="false" outlineLevel="0" collapsed="false">
      <c r="A32" s="9"/>
      <c r="B32" s="9"/>
      <c r="C32" s="9"/>
      <c r="D32" s="9"/>
      <c r="E32" s="9"/>
      <c r="F32" s="10" t="str">
        <f aca="false">IF(A32="","",IF(K32&lt;&gt;"",IFERROR(IF(INDEX($E$2:$E$201,MATCH(K32,$A$2:$A$201,0))="",K32,INDEX($E$2:$E$201,MATCH(K32,$A$2:$A$201,0))),K32)&amp;"/","")&amp;IF(J32&lt;&gt;"",IFERROR(IF(INDEX($E$2:$E$201,MATCH(J32,$A$2:$A$201,0))="",J32,INDEX($E$2:$E$201,MATCH(J32,$A$2:$A$201,0))),J32)&amp;"/","")&amp;IF(I32&lt;&gt;"",IFERROR(IF(INDEX($E$2:$E$201,MATCH(I32,$A$2:$A$201,0))="",I32,INDEX($E$2:$E$201,MATCH(I32,$A$2:$A$201,0))),I32)&amp;"/","")&amp;IF(H32&lt;&gt;"",IFERROR(IF(INDEX($E$2:$E$201,MATCH(H32,$A$2:$A$201,0))="",H32,INDEX($E$2:$E$201,MATCH(H32,$A$2:$A$201,0))),H32)&amp;"/","")&amp;IF(E32="",A32,E32))</f>
        <v/>
      </c>
      <c r="G32" s="10" t="str">
        <f aca="false">IF(A32="","",IF(SUMPRODUCT(--EXACT($A$2:$A$201,A32))&gt;1,"Duplicate ID",IF(SUMPRODUCT(--EXACT('1 Types'!$A$2:$A$201,C32))=0,"Type is not on the Types sheet",IF(AND(D32&lt;&gt;"",NOT(SUMPRODUCT(--EXACT($A$2:$A$201,D32))&gt;0)),"Parent is not an asset",IF(AND(D32="",IFERROR(INDEX('1 Types'!$E$2:$E$201,MATCH(C32,'1 Types'!$A$2:$A$201,0)),"")&lt;&gt;"yes"),"Needs a parent",IF(OR(L32&lt;&gt;"",H32=A32,I32=A32,J32=A32,K32=A32),"Parent loop, or more than five levels","ok"))))))</f>
        <v/>
      </c>
      <c r="H32" s="10" t="str">
        <f aca="false">IF(A32="","",D32)</f>
        <v/>
      </c>
      <c r="I32" s="10" t="str">
        <f aca="false">IF(H32="","",IFERROR(INDEX($D$2:$D$201,MATCH(H32,$A$2:$A$201,0)),""))</f>
        <v/>
      </c>
      <c r="J32" s="10" t="str">
        <f aca="false">IF(I32="","",IFERROR(INDEX($D$2:$D$201,MATCH(I32,$A$2:$A$201,0)),""))</f>
        <v/>
      </c>
      <c r="K32" s="10" t="str">
        <f aca="false">IF(J32="","",IFERROR(INDEX($D$2:$D$201,MATCH(J32,$A$2:$A$201,0)),""))</f>
        <v/>
      </c>
      <c r="L32" s="10" t="str">
        <f aca="false">IF(K32="","",IFERROR(INDEX($D$2:$D$201,MATCH(K32,$A$2:$A$201,0)),""))</f>
        <v/>
      </c>
      <c r="M32" s="10" t="str">
        <f aca="false">IF(A32="","",IF(K32&lt;&gt;"",K32,IF(J32&lt;&gt;"",J32,IF(I32&lt;&gt;"",I32,IF(H32&lt;&gt;"",H32,A32)))))</f>
        <v/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10" t="str">
        <f aca="false">IF(A33="","",IF(K33&lt;&gt;"",IFERROR(IF(INDEX($E$2:$E$201,MATCH(K33,$A$2:$A$201,0))="",K33,INDEX($E$2:$E$201,MATCH(K33,$A$2:$A$201,0))),K33)&amp;"/","")&amp;IF(J33&lt;&gt;"",IFERROR(IF(INDEX($E$2:$E$201,MATCH(J33,$A$2:$A$201,0))="",J33,INDEX($E$2:$E$201,MATCH(J33,$A$2:$A$201,0))),J33)&amp;"/","")&amp;IF(I33&lt;&gt;"",IFERROR(IF(INDEX($E$2:$E$201,MATCH(I33,$A$2:$A$201,0))="",I33,INDEX($E$2:$E$201,MATCH(I33,$A$2:$A$201,0))),I33)&amp;"/","")&amp;IF(H33&lt;&gt;"",IFERROR(IF(INDEX($E$2:$E$201,MATCH(H33,$A$2:$A$201,0))="",H33,INDEX($E$2:$E$201,MATCH(H33,$A$2:$A$201,0))),H33)&amp;"/","")&amp;IF(E33="",A33,E33))</f>
        <v/>
      </c>
      <c r="G33" s="10" t="str">
        <f aca="false">IF(A33="","",IF(SUMPRODUCT(--EXACT($A$2:$A$201,A33))&gt;1,"Duplicate ID",IF(SUMPRODUCT(--EXACT('1 Types'!$A$2:$A$201,C33))=0,"Type is not on the Types sheet",IF(AND(D33&lt;&gt;"",NOT(SUMPRODUCT(--EXACT($A$2:$A$201,D33))&gt;0)),"Parent is not an asset",IF(AND(D33="",IFERROR(INDEX('1 Types'!$E$2:$E$201,MATCH(C33,'1 Types'!$A$2:$A$201,0)),"")&lt;&gt;"yes"),"Needs a parent",IF(OR(L33&lt;&gt;"",H33=A33,I33=A33,J33=A33,K33=A33),"Parent loop, or more than five levels","ok"))))))</f>
        <v/>
      </c>
      <c r="H33" s="10" t="str">
        <f aca="false">IF(A33="","",D33)</f>
        <v/>
      </c>
      <c r="I33" s="10" t="str">
        <f aca="false">IF(H33="","",IFERROR(INDEX($D$2:$D$201,MATCH(H33,$A$2:$A$201,0)),""))</f>
        <v/>
      </c>
      <c r="J33" s="10" t="str">
        <f aca="false">IF(I33="","",IFERROR(INDEX($D$2:$D$201,MATCH(I33,$A$2:$A$201,0)),""))</f>
        <v/>
      </c>
      <c r="K33" s="10" t="str">
        <f aca="false">IF(J33="","",IFERROR(INDEX($D$2:$D$201,MATCH(J33,$A$2:$A$201,0)),""))</f>
        <v/>
      </c>
      <c r="L33" s="10" t="str">
        <f aca="false">IF(K33="","",IFERROR(INDEX($D$2:$D$201,MATCH(K33,$A$2:$A$201,0)),""))</f>
        <v/>
      </c>
      <c r="M33" s="10" t="str">
        <f aca="false">IF(A33="","",IF(K33&lt;&gt;"",K33,IF(J33&lt;&gt;"",J33,IF(I33&lt;&gt;"",I33,IF(H33&lt;&gt;"",H33,A33)))))</f>
        <v/>
      </c>
    </row>
    <row r="34" customFormat="false" ht="15" hidden="false" customHeight="false" outlineLevel="0" collapsed="false">
      <c r="A34" s="9"/>
      <c r="B34" s="9"/>
      <c r="C34" s="9"/>
      <c r="D34" s="9"/>
      <c r="E34" s="9"/>
      <c r="F34" s="10" t="str">
        <f aca="false">IF(A34="","",IF(K34&lt;&gt;"",IFERROR(IF(INDEX($E$2:$E$201,MATCH(K34,$A$2:$A$201,0))="",K34,INDEX($E$2:$E$201,MATCH(K34,$A$2:$A$201,0))),K34)&amp;"/","")&amp;IF(J34&lt;&gt;"",IFERROR(IF(INDEX($E$2:$E$201,MATCH(J34,$A$2:$A$201,0))="",J34,INDEX($E$2:$E$201,MATCH(J34,$A$2:$A$201,0))),J34)&amp;"/","")&amp;IF(I34&lt;&gt;"",IFERROR(IF(INDEX($E$2:$E$201,MATCH(I34,$A$2:$A$201,0))="",I34,INDEX($E$2:$E$201,MATCH(I34,$A$2:$A$201,0))),I34)&amp;"/","")&amp;IF(H34&lt;&gt;"",IFERROR(IF(INDEX($E$2:$E$201,MATCH(H34,$A$2:$A$201,0))="",H34,INDEX($E$2:$E$201,MATCH(H34,$A$2:$A$201,0))),H34)&amp;"/","")&amp;IF(E34="",A34,E34))</f>
        <v/>
      </c>
      <c r="G34" s="10" t="str">
        <f aca="false">IF(A34="","",IF(SUMPRODUCT(--EXACT($A$2:$A$201,A34))&gt;1,"Duplicate ID",IF(SUMPRODUCT(--EXACT('1 Types'!$A$2:$A$201,C34))=0,"Type is not on the Types sheet",IF(AND(D34&lt;&gt;"",NOT(SUMPRODUCT(--EXACT($A$2:$A$201,D34))&gt;0)),"Parent is not an asset",IF(AND(D34="",IFERROR(INDEX('1 Types'!$E$2:$E$201,MATCH(C34,'1 Types'!$A$2:$A$201,0)),"")&lt;&gt;"yes"),"Needs a parent",IF(OR(L34&lt;&gt;"",H34=A34,I34=A34,J34=A34,K34=A34),"Parent loop, or more than five levels","ok"))))))</f>
        <v/>
      </c>
      <c r="H34" s="10" t="str">
        <f aca="false">IF(A34="","",D34)</f>
        <v/>
      </c>
      <c r="I34" s="10" t="str">
        <f aca="false">IF(H34="","",IFERROR(INDEX($D$2:$D$201,MATCH(H34,$A$2:$A$201,0)),""))</f>
        <v/>
      </c>
      <c r="J34" s="10" t="str">
        <f aca="false">IF(I34="","",IFERROR(INDEX($D$2:$D$201,MATCH(I34,$A$2:$A$201,0)),""))</f>
        <v/>
      </c>
      <c r="K34" s="10" t="str">
        <f aca="false">IF(J34="","",IFERROR(INDEX($D$2:$D$201,MATCH(J34,$A$2:$A$201,0)),""))</f>
        <v/>
      </c>
      <c r="L34" s="10" t="str">
        <f aca="false">IF(K34="","",IFERROR(INDEX($D$2:$D$201,MATCH(K34,$A$2:$A$201,0)),""))</f>
        <v/>
      </c>
      <c r="M34" s="10" t="str">
        <f aca="false">IF(A34="","",IF(K34&lt;&gt;"",K34,IF(J34&lt;&gt;"",J34,IF(I34&lt;&gt;"",I34,IF(H34&lt;&gt;"",H34,A34)))))</f>
        <v/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10" t="str">
        <f aca="false">IF(A35="","",IF(K35&lt;&gt;"",IFERROR(IF(INDEX($E$2:$E$201,MATCH(K35,$A$2:$A$201,0))="",K35,INDEX($E$2:$E$201,MATCH(K35,$A$2:$A$201,0))),K35)&amp;"/","")&amp;IF(J35&lt;&gt;"",IFERROR(IF(INDEX($E$2:$E$201,MATCH(J35,$A$2:$A$201,0))="",J35,INDEX($E$2:$E$201,MATCH(J35,$A$2:$A$201,0))),J35)&amp;"/","")&amp;IF(I35&lt;&gt;"",IFERROR(IF(INDEX($E$2:$E$201,MATCH(I35,$A$2:$A$201,0))="",I35,INDEX($E$2:$E$201,MATCH(I35,$A$2:$A$201,0))),I35)&amp;"/","")&amp;IF(H35&lt;&gt;"",IFERROR(IF(INDEX($E$2:$E$201,MATCH(H35,$A$2:$A$201,0))="",H35,INDEX($E$2:$E$201,MATCH(H35,$A$2:$A$201,0))),H35)&amp;"/","")&amp;IF(E35="",A35,E35))</f>
        <v/>
      </c>
      <c r="G35" s="10" t="str">
        <f aca="false">IF(A35="","",IF(SUMPRODUCT(--EXACT($A$2:$A$201,A35))&gt;1,"Duplicate ID",IF(SUMPRODUCT(--EXACT('1 Types'!$A$2:$A$201,C35))=0,"Type is not on the Types sheet",IF(AND(D35&lt;&gt;"",NOT(SUMPRODUCT(--EXACT($A$2:$A$201,D35))&gt;0)),"Parent is not an asset",IF(AND(D35="",IFERROR(INDEX('1 Types'!$E$2:$E$201,MATCH(C35,'1 Types'!$A$2:$A$201,0)),"")&lt;&gt;"yes"),"Needs a parent",IF(OR(L35&lt;&gt;"",H35=A35,I35=A35,J35=A35,K35=A35),"Parent loop, or more than five levels","ok"))))))</f>
        <v/>
      </c>
      <c r="H35" s="10" t="str">
        <f aca="false">IF(A35="","",D35)</f>
        <v/>
      </c>
      <c r="I35" s="10" t="str">
        <f aca="false">IF(H35="","",IFERROR(INDEX($D$2:$D$201,MATCH(H35,$A$2:$A$201,0)),""))</f>
        <v/>
      </c>
      <c r="J35" s="10" t="str">
        <f aca="false">IF(I35="","",IFERROR(INDEX($D$2:$D$201,MATCH(I35,$A$2:$A$201,0)),""))</f>
        <v/>
      </c>
      <c r="K35" s="10" t="str">
        <f aca="false">IF(J35="","",IFERROR(INDEX($D$2:$D$201,MATCH(J35,$A$2:$A$201,0)),""))</f>
        <v/>
      </c>
      <c r="L35" s="10" t="str">
        <f aca="false">IF(K35="","",IFERROR(INDEX($D$2:$D$201,MATCH(K35,$A$2:$A$201,0)),""))</f>
        <v/>
      </c>
      <c r="M35" s="10" t="str">
        <f aca="false">IF(A35="","",IF(K35&lt;&gt;"",K35,IF(J35&lt;&gt;"",J35,IF(I35&lt;&gt;"",I35,IF(H35&lt;&gt;"",H35,A35)))))</f>
        <v/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10" t="str">
        <f aca="false">IF(A36="","",IF(K36&lt;&gt;"",IFERROR(IF(INDEX($E$2:$E$201,MATCH(K36,$A$2:$A$201,0))="",K36,INDEX($E$2:$E$201,MATCH(K36,$A$2:$A$201,0))),K36)&amp;"/","")&amp;IF(J36&lt;&gt;"",IFERROR(IF(INDEX($E$2:$E$201,MATCH(J36,$A$2:$A$201,0))="",J36,INDEX($E$2:$E$201,MATCH(J36,$A$2:$A$201,0))),J36)&amp;"/","")&amp;IF(I36&lt;&gt;"",IFERROR(IF(INDEX($E$2:$E$201,MATCH(I36,$A$2:$A$201,0))="",I36,INDEX($E$2:$E$201,MATCH(I36,$A$2:$A$201,0))),I36)&amp;"/","")&amp;IF(H36&lt;&gt;"",IFERROR(IF(INDEX($E$2:$E$201,MATCH(H36,$A$2:$A$201,0))="",H36,INDEX($E$2:$E$201,MATCH(H36,$A$2:$A$201,0))),H36)&amp;"/","")&amp;IF(E36="",A36,E36))</f>
        <v/>
      </c>
      <c r="G36" s="10" t="str">
        <f aca="false">IF(A36="","",IF(SUMPRODUCT(--EXACT($A$2:$A$201,A36))&gt;1,"Duplicate ID",IF(SUMPRODUCT(--EXACT('1 Types'!$A$2:$A$201,C36))=0,"Type is not on the Types sheet",IF(AND(D36&lt;&gt;"",NOT(SUMPRODUCT(--EXACT($A$2:$A$201,D36))&gt;0)),"Parent is not an asset",IF(AND(D36="",IFERROR(INDEX('1 Types'!$E$2:$E$201,MATCH(C36,'1 Types'!$A$2:$A$201,0)),"")&lt;&gt;"yes"),"Needs a parent",IF(OR(L36&lt;&gt;"",H36=A36,I36=A36,J36=A36,K36=A36),"Parent loop, or more than five levels","ok"))))))</f>
        <v/>
      </c>
      <c r="H36" s="10" t="str">
        <f aca="false">IF(A36="","",D36)</f>
        <v/>
      </c>
      <c r="I36" s="10" t="str">
        <f aca="false">IF(H36="","",IFERROR(INDEX($D$2:$D$201,MATCH(H36,$A$2:$A$201,0)),""))</f>
        <v/>
      </c>
      <c r="J36" s="10" t="str">
        <f aca="false">IF(I36="","",IFERROR(INDEX($D$2:$D$201,MATCH(I36,$A$2:$A$201,0)),""))</f>
        <v/>
      </c>
      <c r="K36" s="10" t="str">
        <f aca="false">IF(J36="","",IFERROR(INDEX($D$2:$D$201,MATCH(J36,$A$2:$A$201,0)),""))</f>
        <v/>
      </c>
      <c r="L36" s="10" t="str">
        <f aca="false">IF(K36="","",IFERROR(INDEX($D$2:$D$201,MATCH(K36,$A$2:$A$201,0)),""))</f>
        <v/>
      </c>
      <c r="M36" s="10" t="str">
        <f aca="false">IF(A36="","",IF(K36&lt;&gt;"",K36,IF(J36&lt;&gt;"",J36,IF(I36&lt;&gt;"",I36,IF(H36&lt;&gt;"",H36,A36)))))</f>
        <v/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10" t="str">
        <f aca="false">IF(A37="","",IF(K37&lt;&gt;"",IFERROR(IF(INDEX($E$2:$E$201,MATCH(K37,$A$2:$A$201,0))="",K37,INDEX($E$2:$E$201,MATCH(K37,$A$2:$A$201,0))),K37)&amp;"/","")&amp;IF(J37&lt;&gt;"",IFERROR(IF(INDEX($E$2:$E$201,MATCH(J37,$A$2:$A$201,0))="",J37,INDEX($E$2:$E$201,MATCH(J37,$A$2:$A$201,0))),J37)&amp;"/","")&amp;IF(I37&lt;&gt;"",IFERROR(IF(INDEX($E$2:$E$201,MATCH(I37,$A$2:$A$201,0))="",I37,INDEX($E$2:$E$201,MATCH(I37,$A$2:$A$201,0))),I37)&amp;"/","")&amp;IF(H37&lt;&gt;"",IFERROR(IF(INDEX($E$2:$E$201,MATCH(H37,$A$2:$A$201,0))="",H37,INDEX($E$2:$E$201,MATCH(H37,$A$2:$A$201,0))),H37)&amp;"/","")&amp;IF(E37="",A37,E37))</f>
        <v/>
      </c>
      <c r="G37" s="10" t="str">
        <f aca="false">IF(A37="","",IF(SUMPRODUCT(--EXACT($A$2:$A$201,A37))&gt;1,"Duplicate ID",IF(SUMPRODUCT(--EXACT('1 Types'!$A$2:$A$201,C37))=0,"Type is not on the Types sheet",IF(AND(D37&lt;&gt;"",NOT(SUMPRODUCT(--EXACT($A$2:$A$201,D37))&gt;0)),"Parent is not an asset",IF(AND(D37="",IFERROR(INDEX('1 Types'!$E$2:$E$201,MATCH(C37,'1 Types'!$A$2:$A$201,0)),"")&lt;&gt;"yes"),"Needs a parent",IF(OR(L37&lt;&gt;"",H37=A37,I37=A37,J37=A37,K37=A37),"Parent loop, or more than five levels","ok"))))))</f>
        <v/>
      </c>
      <c r="H37" s="10" t="str">
        <f aca="false">IF(A37="","",D37)</f>
        <v/>
      </c>
      <c r="I37" s="10" t="str">
        <f aca="false">IF(H37="","",IFERROR(INDEX($D$2:$D$201,MATCH(H37,$A$2:$A$201,0)),""))</f>
        <v/>
      </c>
      <c r="J37" s="10" t="str">
        <f aca="false">IF(I37="","",IFERROR(INDEX($D$2:$D$201,MATCH(I37,$A$2:$A$201,0)),""))</f>
        <v/>
      </c>
      <c r="K37" s="10" t="str">
        <f aca="false">IF(J37="","",IFERROR(INDEX($D$2:$D$201,MATCH(J37,$A$2:$A$201,0)),""))</f>
        <v/>
      </c>
      <c r="L37" s="10" t="str">
        <f aca="false">IF(K37="","",IFERROR(INDEX($D$2:$D$201,MATCH(K37,$A$2:$A$201,0)),""))</f>
        <v/>
      </c>
      <c r="M37" s="10" t="str">
        <f aca="false">IF(A37="","",IF(K37&lt;&gt;"",K37,IF(J37&lt;&gt;"",J37,IF(I37&lt;&gt;"",I37,IF(H37&lt;&gt;"",H37,A37)))))</f>
        <v/>
      </c>
    </row>
    <row r="38" customFormat="false" ht="15" hidden="false" customHeight="false" outlineLevel="0" collapsed="false">
      <c r="A38" s="9"/>
      <c r="B38" s="9"/>
      <c r="C38" s="9"/>
      <c r="D38" s="9"/>
      <c r="E38" s="9"/>
      <c r="F38" s="10" t="str">
        <f aca="false">IF(A38="","",IF(K38&lt;&gt;"",IFERROR(IF(INDEX($E$2:$E$201,MATCH(K38,$A$2:$A$201,0))="",K38,INDEX($E$2:$E$201,MATCH(K38,$A$2:$A$201,0))),K38)&amp;"/","")&amp;IF(J38&lt;&gt;"",IFERROR(IF(INDEX($E$2:$E$201,MATCH(J38,$A$2:$A$201,0))="",J38,INDEX($E$2:$E$201,MATCH(J38,$A$2:$A$201,0))),J38)&amp;"/","")&amp;IF(I38&lt;&gt;"",IFERROR(IF(INDEX($E$2:$E$201,MATCH(I38,$A$2:$A$201,0))="",I38,INDEX($E$2:$E$201,MATCH(I38,$A$2:$A$201,0))),I38)&amp;"/","")&amp;IF(H38&lt;&gt;"",IFERROR(IF(INDEX($E$2:$E$201,MATCH(H38,$A$2:$A$201,0))="",H38,INDEX($E$2:$E$201,MATCH(H38,$A$2:$A$201,0))),H38)&amp;"/","")&amp;IF(E38="",A38,E38))</f>
        <v/>
      </c>
      <c r="G38" s="10" t="str">
        <f aca="false">IF(A38="","",IF(SUMPRODUCT(--EXACT($A$2:$A$201,A38))&gt;1,"Duplicate ID",IF(SUMPRODUCT(--EXACT('1 Types'!$A$2:$A$201,C38))=0,"Type is not on the Types sheet",IF(AND(D38&lt;&gt;"",NOT(SUMPRODUCT(--EXACT($A$2:$A$201,D38))&gt;0)),"Parent is not an asset",IF(AND(D38="",IFERROR(INDEX('1 Types'!$E$2:$E$201,MATCH(C38,'1 Types'!$A$2:$A$201,0)),"")&lt;&gt;"yes"),"Needs a parent",IF(OR(L38&lt;&gt;"",H38=A38,I38=A38,J38=A38,K38=A38),"Parent loop, or more than five levels","ok"))))))</f>
        <v/>
      </c>
      <c r="H38" s="10" t="str">
        <f aca="false">IF(A38="","",D38)</f>
        <v/>
      </c>
      <c r="I38" s="10" t="str">
        <f aca="false">IF(H38="","",IFERROR(INDEX($D$2:$D$201,MATCH(H38,$A$2:$A$201,0)),""))</f>
        <v/>
      </c>
      <c r="J38" s="10" t="str">
        <f aca="false">IF(I38="","",IFERROR(INDEX($D$2:$D$201,MATCH(I38,$A$2:$A$201,0)),""))</f>
        <v/>
      </c>
      <c r="K38" s="10" t="str">
        <f aca="false">IF(J38="","",IFERROR(INDEX($D$2:$D$201,MATCH(J38,$A$2:$A$201,0)),""))</f>
        <v/>
      </c>
      <c r="L38" s="10" t="str">
        <f aca="false">IF(K38="","",IFERROR(INDEX($D$2:$D$201,MATCH(K38,$A$2:$A$201,0)),""))</f>
        <v/>
      </c>
      <c r="M38" s="10" t="str">
        <f aca="false">IF(A38="","",IF(K38&lt;&gt;"",K38,IF(J38&lt;&gt;"",J38,IF(I38&lt;&gt;"",I38,IF(H38&lt;&gt;"",H38,A38)))))</f>
        <v/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10" t="str">
        <f aca="false">IF(A39="","",IF(K39&lt;&gt;"",IFERROR(IF(INDEX($E$2:$E$201,MATCH(K39,$A$2:$A$201,0))="",K39,INDEX($E$2:$E$201,MATCH(K39,$A$2:$A$201,0))),K39)&amp;"/","")&amp;IF(J39&lt;&gt;"",IFERROR(IF(INDEX($E$2:$E$201,MATCH(J39,$A$2:$A$201,0))="",J39,INDEX($E$2:$E$201,MATCH(J39,$A$2:$A$201,0))),J39)&amp;"/","")&amp;IF(I39&lt;&gt;"",IFERROR(IF(INDEX($E$2:$E$201,MATCH(I39,$A$2:$A$201,0))="",I39,INDEX($E$2:$E$201,MATCH(I39,$A$2:$A$201,0))),I39)&amp;"/","")&amp;IF(H39&lt;&gt;"",IFERROR(IF(INDEX($E$2:$E$201,MATCH(H39,$A$2:$A$201,0))="",H39,INDEX($E$2:$E$201,MATCH(H39,$A$2:$A$201,0))),H39)&amp;"/","")&amp;IF(E39="",A39,E39))</f>
        <v/>
      </c>
      <c r="G39" s="10" t="str">
        <f aca="false">IF(A39="","",IF(SUMPRODUCT(--EXACT($A$2:$A$201,A39))&gt;1,"Duplicate ID",IF(SUMPRODUCT(--EXACT('1 Types'!$A$2:$A$201,C39))=0,"Type is not on the Types sheet",IF(AND(D39&lt;&gt;"",NOT(SUMPRODUCT(--EXACT($A$2:$A$201,D39))&gt;0)),"Parent is not an asset",IF(AND(D39="",IFERROR(INDEX('1 Types'!$E$2:$E$201,MATCH(C39,'1 Types'!$A$2:$A$201,0)),"")&lt;&gt;"yes"),"Needs a parent",IF(OR(L39&lt;&gt;"",H39=A39,I39=A39,J39=A39,K39=A39),"Parent loop, or more than five levels","ok"))))))</f>
        <v/>
      </c>
      <c r="H39" s="10" t="str">
        <f aca="false">IF(A39="","",D39)</f>
        <v/>
      </c>
      <c r="I39" s="10" t="str">
        <f aca="false">IF(H39="","",IFERROR(INDEX($D$2:$D$201,MATCH(H39,$A$2:$A$201,0)),""))</f>
        <v/>
      </c>
      <c r="J39" s="10" t="str">
        <f aca="false">IF(I39="","",IFERROR(INDEX($D$2:$D$201,MATCH(I39,$A$2:$A$201,0)),""))</f>
        <v/>
      </c>
      <c r="K39" s="10" t="str">
        <f aca="false">IF(J39="","",IFERROR(INDEX($D$2:$D$201,MATCH(J39,$A$2:$A$201,0)),""))</f>
        <v/>
      </c>
      <c r="L39" s="10" t="str">
        <f aca="false">IF(K39="","",IFERROR(INDEX($D$2:$D$201,MATCH(K39,$A$2:$A$201,0)),""))</f>
        <v/>
      </c>
      <c r="M39" s="10" t="str">
        <f aca="false">IF(A39="","",IF(K39&lt;&gt;"",K39,IF(J39&lt;&gt;"",J39,IF(I39&lt;&gt;"",I39,IF(H39&lt;&gt;"",H39,A39)))))</f>
        <v/>
      </c>
    </row>
    <row r="40" customFormat="false" ht="15" hidden="false" customHeight="false" outlineLevel="0" collapsed="false">
      <c r="A40" s="9"/>
      <c r="B40" s="9"/>
      <c r="C40" s="9"/>
      <c r="D40" s="9"/>
      <c r="E40" s="9"/>
      <c r="F40" s="10" t="str">
        <f aca="false">IF(A40="","",IF(K40&lt;&gt;"",IFERROR(IF(INDEX($E$2:$E$201,MATCH(K40,$A$2:$A$201,0))="",K40,INDEX($E$2:$E$201,MATCH(K40,$A$2:$A$201,0))),K40)&amp;"/","")&amp;IF(J40&lt;&gt;"",IFERROR(IF(INDEX($E$2:$E$201,MATCH(J40,$A$2:$A$201,0))="",J40,INDEX($E$2:$E$201,MATCH(J40,$A$2:$A$201,0))),J40)&amp;"/","")&amp;IF(I40&lt;&gt;"",IFERROR(IF(INDEX($E$2:$E$201,MATCH(I40,$A$2:$A$201,0))="",I40,INDEX($E$2:$E$201,MATCH(I40,$A$2:$A$201,0))),I40)&amp;"/","")&amp;IF(H40&lt;&gt;"",IFERROR(IF(INDEX($E$2:$E$201,MATCH(H40,$A$2:$A$201,0))="",H40,INDEX($E$2:$E$201,MATCH(H40,$A$2:$A$201,0))),H40)&amp;"/","")&amp;IF(E40="",A40,E40))</f>
        <v/>
      </c>
      <c r="G40" s="10" t="str">
        <f aca="false">IF(A40="","",IF(SUMPRODUCT(--EXACT($A$2:$A$201,A40))&gt;1,"Duplicate ID",IF(SUMPRODUCT(--EXACT('1 Types'!$A$2:$A$201,C40))=0,"Type is not on the Types sheet",IF(AND(D40&lt;&gt;"",NOT(SUMPRODUCT(--EXACT($A$2:$A$201,D40))&gt;0)),"Parent is not an asset",IF(AND(D40="",IFERROR(INDEX('1 Types'!$E$2:$E$201,MATCH(C40,'1 Types'!$A$2:$A$201,0)),"")&lt;&gt;"yes"),"Needs a parent",IF(OR(L40&lt;&gt;"",H40=A40,I40=A40,J40=A40,K40=A40),"Parent loop, or more than five levels","ok"))))))</f>
        <v/>
      </c>
      <c r="H40" s="10" t="str">
        <f aca="false">IF(A40="","",D40)</f>
        <v/>
      </c>
      <c r="I40" s="10" t="str">
        <f aca="false">IF(H40="","",IFERROR(INDEX($D$2:$D$201,MATCH(H40,$A$2:$A$201,0)),""))</f>
        <v/>
      </c>
      <c r="J40" s="10" t="str">
        <f aca="false">IF(I40="","",IFERROR(INDEX($D$2:$D$201,MATCH(I40,$A$2:$A$201,0)),""))</f>
        <v/>
      </c>
      <c r="K40" s="10" t="str">
        <f aca="false">IF(J40="","",IFERROR(INDEX($D$2:$D$201,MATCH(J40,$A$2:$A$201,0)),""))</f>
        <v/>
      </c>
      <c r="L40" s="10" t="str">
        <f aca="false">IF(K40="","",IFERROR(INDEX($D$2:$D$201,MATCH(K40,$A$2:$A$201,0)),""))</f>
        <v/>
      </c>
      <c r="M40" s="10" t="str">
        <f aca="false">IF(A40="","",IF(K40&lt;&gt;"",K40,IF(J40&lt;&gt;"",J40,IF(I40&lt;&gt;"",I40,IF(H40&lt;&gt;"",H40,A40)))))</f>
        <v/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10" t="str">
        <f aca="false">IF(A41="","",IF(K41&lt;&gt;"",IFERROR(IF(INDEX($E$2:$E$201,MATCH(K41,$A$2:$A$201,0))="",K41,INDEX($E$2:$E$201,MATCH(K41,$A$2:$A$201,0))),K41)&amp;"/","")&amp;IF(J41&lt;&gt;"",IFERROR(IF(INDEX($E$2:$E$201,MATCH(J41,$A$2:$A$201,0))="",J41,INDEX($E$2:$E$201,MATCH(J41,$A$2:$A$201,0))),J41)&amp;"/","")&amp;IF(I41&lt;&gt;"",IFERROR(IF(INDEX($E$2:$E$201,MATCH(I41,$A$2:$A$201,0))="",I41,INDEX($E$2:$E$201,MATCH(I41,$A$2:$A$201,0))),I41)&amp;"/","")&amp;IF(H41&lt;&gt;"",IFERROR(IF(INDEX($E$2:$E$201,MATCH(H41,$A$2:$A$201,0))="",H41,INDEX($E$2:$E$201,MATCH(H41,$A$2:$A$201,0))),H41)&amp;"/","")&amp;IF(E41="",A41,E41))</f>
        <v/>
      </c>
      <c r="G41" s="10" t="str">
        <f aca="false">IF(A41="","",IF(SUMPRODUCT(--EXACT($A$2:$A$201,A41))&gt;1,"Duplicate ID",IF(SUMPRODUCT(--EXACT('1 Types'!$A$2:$A$201,C41))=0,"Type is not on the Types sheet",IF(AND(D41&lt;&gt;"",NOT(SUMPRODUCT(--EXACT($A$2:$A$201,D41))&gt;0)),"Parent is not an asset",IF(AND(D41="",IFERROR(INDEX('1 Types'!$E$2:$E$201,MATCH(C41,'1 Types'!$A$2:$A$201,0)),"")&lt;&gt;"yes"),"Needs a parent",IF(OR(L41&lt;&gt;"",H41=A41,I41=A41,J41=A41,K41=A41),"Parent loop, or more than five levels","ok"))))))</f>
        <v/>
      </c>
      <c r="H41" s="10" t="str">
        <f aca="false">IF(A41="","",D41)</f>
        <v/>
      </c>
      <c r="I41" s="10" t="str">
        <f aca="false">IF(H41="","",IFERROR(INDEX($D$2:$D$201,MATCH(H41,$A$2:$A$201,0)),""))</f>
        <v/>
      </c>
      <c r="J41" s="10" t="str">
        <f aca="false">IF(I41="","",IFERROR(INDEX($D$2:$D$201,MATCH(I41,$A$2:$A$201,0)),""))</f>
        <v/>
      </c>
      <c r="K41" s="10" t="str">
        <f aca="false">IF(J41="","",IFERROR(INDEX($D$2:$D$201,MATCH(J41,$A$2:$A$201,0)),""))</f>
        <v/>
      </c>
      <c r="L41" s="10" t="str">
        <f aca="false">IF(K41="","",IFERROR(INDEX($D$2:$D$201,MATCH(K41,$A$2:$A$201,0)),""))</f>
        <v/>
      </c>
      <c r="M41" s="10" t="str">
        <f aca="false">IF(A41="","",IF(K41&lt;&gt;"",K41,IF(J41&lt;&gt;"",J41,IF(I41&lt;&gt;"",I41,IF(H41&lt;&gt;"",H41,A41)))))</f>
        <v/>
      </c>
    </row>
    <row r="42" customFormat="false" ht="15" hidden="false" customHeight="false" outlineLevel="0" collapsed="false">
      <c r="A42" s="9"/>
      <c r="B42" s="9"/>
      <c r="C42" s="9"/>
      <c r="D42" s="9"/>
      <c r="E42" s="9"/>
      <c r="F42" s="10" t="str">
        <f aca="false">IF(A42="","",IF(K42&lt;&gt;"",IFERROR(IF(INDEX($E$2:$E$201,MATCH(K42,$A$2:$A$201,0))="",K42,INDEX($E$2:$E$201,MATCH(K42,$A$2:$A$201,0))),K42)&amp;"/","")&amp;IF(J42&lt;&gt;"",IFERROR(IF(INDEX($E$2:$E$201,MATCH(J42,$A$2:$A$201,0))="",J42,INDEX($E$2:$E$201,MATCH(J42,$A$2:$A$201,0))),J42)&amp;"/","")&amp;IF(I42&lt;&gt;"",IFERROR(IF(INDEX($E$2:$E$201,MATCH(I42,$A$2:$A$201,0))="",I42,INDEX($E$2:$E$201,MATCH(I42,$A$2:$A$201,0))),I42)&amp;"/","")&amp;IF(H42&lt;&gt;"",IFERROR(IF(INDEX($E$2:$E$201,MATCH(H42,$A$2:$A$201,0))="",H42,INDEX($E$2:$E$201,MATCH(H42,$A$2:$A$201,0))),H42)&amp;"/","")&amp;IF(E42="",A42,E42))</f>
        <v/>
      </c>
      <c r="G42" s="10" t="str">
        <f aca="false">IF(A42="","",IF(SUMPRODUCT(--EXACT($A$2:$A$201,A42))&gt;1,"Duplicate ID",IF(SUMPRODUCT(--EXACT('1 Types'!$A$2:$A$201,C42))=0,"Type is not on the Types sheet",IF(AND(D42&lt;&gt;"",NOT(SUMPRODUCT(--EXACT($A$2:$A$201,D42))&gt;0)),"Parent is not an asset",IF(AND(D42="",IFERROR(INDEX('1 Types'!$E$2:$E$201,MATCH(C42,'1 Types'!$A$2:$A$201,0)),"")&lt;&gt;"yes"),"Needs a parent",IF(OR(L42&lt;&gt;"",H42=A42,I42=A42,J42=A42,K42=A42),"Parent loop, or more than five levels","ok"))))))</f>
        <v/>
      </c>
      <c r="H42" s="10" t="str">
        <f aca="false">IF(A42="","",D42)</f>
        <v/>
      </c>
      <c r="I42" s="10" t="str">
        <f aca="false">IF(H42="","",IFERROR(INDEX($D$2:$D$201,MATCH(H42,$A$2:$A$201,0)),""))</f>
        <v/>
      </c>
      <c r="J42" s="10" t="str">
        <f aca="false">IF(I42="","",IFERROR(INDEX($D$2:$D$201,MATCH(I42,$A$2:$A$201,0)),""))</f>
        <v/>
      </c>
      <c r="K42" s="10" t="str">
        <f aca="false">IF(J42="","",IFERROR(INDEX($D$2:$D$201,MATCH(J42,$A$2:$A$201,0)),""))</f>
        <v/>
      </c>
      <c r="L42" s="10" t="str">
        <f aca="false">IF(K42="","",IFERROR(INDEX($D$2:$D$201,MATCH(K42,$A$2:$A$201,0)),""))</f>
        <v/>
      </c>
      <c r="M42" s="10" t="str">
        <f aca="false">IF(A42="","",IF(K42&lt;&gt;"",K42,IF(J42&lt;&gt;"",J42,IF(I42&lt;&gt;"",I42,IF(H42&lt;&gt;"",H42,A42)))))</f>
        <v/>
      </c>
    </row>
    <row r="43" customFormat="false" ht="15" hidden="false" customHeight="false" outlineLevel="0" collapsed="false">
      <c r="A43" s="9"/>
      <c r="B43" s="9"/>
      <c r="C43" s="9"/>
      <c r="D43" s="9"/>
      <c r="E43" s="9"/>
      <c r="F43" s="10" t="str">
        <f aca="false">IF(A43="","",IF(K43&lt;&gt;"",IFERROR(IF(INDEX($E$2:$E$201,MATCH(K43,$A$2:$A$201,0))="",K43,INDEX($E$2:$E$201,MATCH(K43,$A$2:$A$201,0))),K43)&amp;"/","")&amp;IF(J43&lt;&gt;"",IFERROR(IF(INDEX($E$2:$E$201,MATCH(J43,$A$2:$A$201,0))="",J43,INDEX($E$2:$E$201,MATCH(J43,$A$2:$A$201,0))),J43)&amp;"/","")&amp;IF(I43&lt;&gt;"",IFERROR(IF(INDEX($E$2:$E$201,MATCH(I43,$A$2:$A$201,0))="",I43,INDEX($E$2:$E$201,MATCH(I43,$A$2:$A$201,0))),I43)&amp;"/","")&amp;IF(H43&lt;&gt;"",IFERROR(IF(INDEX($E$2:$E$201,MATCH(H43,$A$2:$A$201,0))="",H43,INDEX($E$2:$E$201,MATCH(H43,$A$2:$A$201,0))),H43)&amp;"/","")&amp;IF(E43="",A43,E43))</f>
        <v/>
      </c>
      <c r="G43" s="10" t="str">
        <f aca="false">IF(A43="","",IF(SUMPRODUCT(--EXACT($A$2:$A$201,A43))&gt;1,"Duplicate ID",IF(SUMPRODUCT(--EXACT('1 Types'!$A$2:$A$201,C43))=0,"Type is not on the Types sheet",IF(AND(D43&lt;&gt;"",NOT(SUMPRODUCT(--EXACT($A$2:$A$201,D43))&gt;0)),"Parent is not an asset",IF(AND(D43="",IFERROR(INDEX('1 Types'!$E$2:$E$201,MATCH(C43,'1 Types'!$A$2:$A$201,0)),"")&lt;&gt;"yes"),"Needs a parent",IF(OR(L43&lt;&gt;"",H43=A43,I43=A43,J43=A43,K43=A43),"Parent loop, or more than five levels","ok"))))))</f>
        <v/>
      </c>
      <c r="H43" s="10" t="str">
        <f aca="false">IF(A43="","",D43)</f>
        <v/>
      </c>
      <c r="I43" s="10" t="str">
        <f aca="false">IF(H43="","",IFERROR(INDEX($D$2:$D$201,MATCH(H43,$A$2:$A$201,0)),""))</f>
        <v/>
      </c>
      <c r="J43" s="10" t="str">
        <f aca="false">IF(I43="","",IFERROR(INDEX($D$2:$D$201,MATCH(I43,$A$2:$A$201,0)),""))</f>
        <v/>
      </c>
      <c r="K43" s="10" t="str">
        <f aca="false">IF(J43="","",IFERROR(INDEX($D$2:$D$201,MATCH(J43,$A$2:$A$201,0)),""))</f>
        <v/>
      </c>
      <c r="L43" s="10" t="str">
        <f aca="false">IF(K43="","",IFERROR(INDEX($D$2:$D$201,MATCH(K43,$A$2:$A$201,0)),""))</f>
        <v/>
      </c>
      <c r="M43" s="10" t="str">
        <f aca="false">IF(A43="","",IF(K43&lt;&gt;"",K43,IF(J43&lt;&gt;"",J43,IF(I43&lt;&gt;"",I43,IF(H43&lt;&gt;"",H43,A43)))))</f>
        <v/>
      </c>
    </row>
    <row r="44" customFormat="false" ht="15" hidden="false" customHeight="false" outlineLevel="0" collapsed="false">
      <c r="A44" s="9"/>
      <c r="B44" s="9"/>
      <c r="C44" s="9"/>
      <c r="D44" s="9"/>
      <c r="E44" s="9"/>
      <c r="F44" s="10" t="str">
        <f aca="false">IF(A44="","",IF(K44&lt;&gt;"",IFERROR(IF(INDEX($E$2:$E$201,MATCH(K44,$A$2:$A$201,0))="",K44,INDEX($E$2:$E$201,MATCH(K44,$A$2:$A$201,0))),K44)&amp;"/","")&amp;IF(J44&lt;&gt;"",IFERROR(IF(INDEX($E$2:$E$201,MATCH(J44,$A$2:$A$201,0))="",J44,INDEX($E$2:$E$201,MATCH(J44,$A$2:$A$201,0))),J44)&amp;"/","")&amp;IF(I44&lt;&gt;"",IFERROR(IF(INDEX($E$2:$E$201,MATCH(I44,$A$2:$A$201,0))="",I44,INDEX($E$2:$E$201,MATCH(I44,$A$2:$A$201,0))),I44)&amp;"/","")&amp;IF(H44&lt;&gt;"",IFERROR(IF(INDEX($E$2:$E$201,MATCH(H44,$A$2:$A$201,0))="",H44,INDEX($E$2:$E$201,MATCH(H44,$A$2:$A$201,0))),H44)&amp;"/","")&amp;IF(E44="",A44,E44))</f>
        <v/>
      </c>
      <c r="G44" s="10" t="str">
        <f aca="false">IF(A44="","",IF(SUMPRODUCT(--EXACT($A$2:$A$201,A44))&gt;1,"Duplicate ID",IF(SUMPRODUCT(--EXACT('1 Types'!$A$2:$A$201,C44))=0,"Type is not on the Types sheet",IF(AND(D44&lt;&gt;"",NOT(SUMPRODUCT(--EXACT($A$2:$A$201,D44))&gt;0)),"Parent is not an asset",IF(AND(D44="",IFERROR(INDEX('1 Types'!$E$2:$E$201,MATCH(C44,'1 Types'!$A$2:$A$201,0)),"")&lt;&gt;"yes"),"Needs a parent",IF(OR(L44&lt;&gt;"",H44=A44,I44=A44,J44=A44,K44=A44),"Parent loop, or more than five levels","ok"))))))</f>
        <v/>
      </c>
      <c r="H44" s="10" t="str">
        <f aca="false">IF(A44="","",D44)</f>
        <v/>
      </c>
      <c r="I44" s="10" t="str">
        <f aca="false">IF(H44="","",IFERROR(INDEX($D$2:$D$201,MATCH(H44,$A$2:$A$201,0)),""))</f>
        <v/>
      </c>
      <c r="J44" s="10" t="str">
        <f aca="false">IF(I44="","",IFERROR(INDEX($D$2:$D$201,MATCH(I44,$A$2:$A$201,0)),""))</f>
        <v/>
      </c>
      <c r="K44" s="10" t="str">
        <f aca="false">IF(J44="","",IFERROR(INDEX($D$2:$D$201,MATCH(J44,$A$2:$A$201,0)),""))</f>
        <v/>
      </c>
      <c r="L44" s="10" t="str">
        <f aca="false">IF(K44="","",IFERROR(INDEX($D$2:$D$201,MATCH(K44,$A$2:$A$201,0)),""))</f>
        <v/>
      </c>
      <c r="M44" s="10" t="str">
        <f aca="false">IF(A44="","",IF(K44&lt;&gt;"",K44,IF(J44&lt;&gt;"",J44,IF(I44&lt;&gt;"",I44,IF(H44&lt;&gt;"",H44,A44)))))</f>
        <v/>
      </c>
    </row>
    <row r="45" customFormat="false" ht="15" hidden="false" customHeight="false" outlineLevel="0" collapsed="false">
      <c r="A45" s="9"/>
      <c r="B45" s="9"/>
      <c r="C45" s="9"/>
      <c r="D45" s="9"/>
      <c r="E45" s="9"/>
      <c r="F45" s="10" t="str">
        <f aca="false">IF(A45="","",IF(K45&lt;&gt;"",IFERROR(IF(INDEX($E$2:$E$201,MATCH(K45,$A$2:$A$201,0))="",K45,INDEX($E$2:$E$201,MATCH(K45,$A$2:$A$201,0))),K45)&amp;"/","")&amp;IF(J45&lt;&gt;"",IFERROR(IF(INDEX($E$2:$E$201,MATCH(J45,$A$2:$A$201,0))="",J45,INDEX($E$2:$E$201,MATCH(J45,$A$2:$A$201,0))),J45)&amp;"/","")&amp;IF(I45&lt;&gt;"",IFERROR(IF(INDEX($E$2:$E$201,MATCH(I45,$A$2:$A$201,0))="",I45,INDEX($E$2:$E$201,MATCH(I45,$A$2:$A$201,0))),I45)&amp;"/","")&amp;IF(H45&lt;&gt;"",IFERROR(IF(INDEX($E$2:$E$201,MATCH(H45,$A$2:$A$201,0))="",H45,INDEX($E$2:$E$201,MATCH(H45,$A$2:$A$201,0))),H45)&amp;"/","")&amp;IF(E45="",A45,E45))</f>
        <v/>
      </c>
      <c r="G45" s="10" t="str">
        <f aca="false">IF(A45="","",IF(SUMPRODUCT(--EXACT($A$2:$A$201,A45))&gt;1,"Duplicate ID",IF(SUMPRODUCT(--EXACT('1 Types'!$A$2:$A$201,C45))=0,"Type is not on the Types sheet",IF(AND(D45&lt;&gt;"",NOT(SUMPRODUCT(--EXACT($A$2:$A$201,D45))&gt;0)),"Parent is not an asset",IF(AND(D45="",IFERROR(INDEX('1 Types'!$E$2:$E$201,MATCH(C45,'1 Types'!$A$2:$A$201,0)),"")&lt;&gt;"yes"),"Needs a parent",IF(OR(L45&lt;&gt;"",H45=A45,I45=A45,J45=A45,K45=A45),"Parent loop, or more than five levels","ok"))))))</f>
        <v/>
      </c>
      <c r="H45" s="10" t="str">
        <f aca="false">IF(A45="","",D45)</f>
        <v/>
      </c>
      <c r="I45" s="10" t="str">
        <f aca="false">IF(H45="","",IFERROR(INDEX($D$2:$D$201,MATCH(H45,$A$2:$A$201,0)),""))</f>
        <v/>
      </c>
      <c r="J45" s="10" t="str">
        <f aca="false">IF(I45="","",IFERROR(INDEX($D$2:$D$201,MATCH(I45,$A$2:$A$201,0)),""))</f>
        <v/>
      </c>
      <c r="K45" s="10" t="str">
        <f aca="false">IF(J45="","",IFERROR(INDEX($D$2:$D$201,MATCH(J45,$A$2:$A$201,0)),""))</f>
        <v/>
      </c>
      <c r="L45" s="10" t="str">
        <f aca="false">IF(K45="","",IFERROR(INDEX($D$2:$D$201,MATCH(K45,$A$2:$A$201,0)),""))</f>
        <v/>
      </c>
      <c r="M45" s="10" t="str">
        <f aca="false">IF(A45="","",IF(K45&lt;&gt;"",K45,IF(J45&lt;&gt;"",J45,IF(I45&lt;&gt;"",I45,IF(H45&lt;&gt;"",H45,A45)))))</f>
        <v/>
      </c>
    </row>
    <row r="46" customFormat="false" ht="15" hidden="false" customHeight="false" outlineLevel="0" collapsed="false">
      <c r="A46" s="9"/>
      <c r="B46" s="9"/>
      <c r="C46" s="9"/>
      <c r="D46" s="9"/>
      <c r="E46" s="9"/>
      <c r="F46" s="10" t="str">
        <f aca="false">IF(A46="","",IF(K46&lt;&gt;"",IFERROR(IF(INDEX($E$2:$E$201,MATCH(K46,$A$2:$A$201,0))="",K46,INDEX($E$2:$E$201,MATCH(K46,$A$2:$A$201,0))),K46)&amp;"/","")&amp;IF(J46&lt;&gt;"",IFERROR(IF(INDEX($E$2:$E$201,MATCH(J46,$A$2:$A$201,0))="",J46,INDEX($E$2:$E$201,MATCH(J46,$A$2:$A$201,0))),J46)&amp;"/","")&amp;IF(I46&lt;&gt;"",IFERROR(IF(INDEX($E$2:$E$201,MATCH(I46,$A$2:$A$201,0))="",I46,INDEX($E$2:$E$201,MATCH(I46,$A$2:$A$201,0))),I46)&amp;"/","")&amp;IF(H46&lt;&gt;"",IFERROR(IF(INDEX($E$2:$E$201,MATCH(H46,$A$2:$A$201,0))="",H46,INDEX($E$2:$E$201,MATCH(H46,$A$2:$A$201,0))),H46)&amp;"/","")&amp;IF(E46="",A46,E46))</f>
        <v/>
      </c>
      <c r="G46" s="10" t="str">
        <f aca="false">IF(A46="","",IF(SUMPRODUCT(--EXACT($A$2:$A$201,A46))&gt;1,"Duplicate ID",IF(SUMPRODUCT(--EXACT('1 Types'!$A$2:$A$201,C46))=0,"Type is not on the Types sheet",IF(AND(D46&lt;&gt;"",NOT(SUMPRODUCT(--EXACT($A$2:$A$201,D46))&gt;0)),"Parent is not an asset",IF(AND(D46="",IFERROR(INDEX('1 Types'!$E$2:$E$201,MATCH(C46,'1 Types'!$A$2:$A$201,0)),"")&lt;&gt;"yes"),"Needs a parent",IF(OR(L46&lt;&gt;"",H46=A46,I46=A46,J46=A46,K46=A46),"Parent loop, or more than five levels","ok"))))))</f>
        <v/>
      </c>
      <c r="H46" s="10" t="str">
        <f aca="false">IF(A46="","",D46)</f>
        <v/>
      </c>
      <c r="I46" s="10" t="str">
        <f aca="false">IF(H46="","",IFERROR(INDEX($D$2:$D$201,MATCH(H46,$A$2:$A$201,0)),""))</f>
        <v/>
      </c>
      <c r="J46" s="10" t="str">
        <f aca="false">IF(I46="","",IFERROR(INDEX($D$2:$D$201,MATCH(I46,$A$2:$A$201,0)),""))</f>
        <v/>
      </c>
      <c r="K46" s="10" t="str">
        <f aca="false">IF(J46="","",IFERROR(INDEX($D$2:$D$201,MATCH(J46,$A$2:$A$201,0)),""))</f>
        <v/>
      </c>
      <c r="L46" s="10" t="str">
        <f aca="false">IF(K46="","",IFERROR(INDEX($D$2:$D$201,MATCH(K46,$A$2:$A$201,0)),""))</f>
        <v/>
      </c>
      <c r="M46" s="10" t="str">
        <f aca="false">IF(A46="","",IF(K46&lt;&gt;"",K46,IF(J46&lt;&gt;"",J46,IF(I46&lt;&gt;"",I46,IF(H46&lt;&gt;"",H46,A46)))))</f>
        <v/>
      </c>
    </row>
    <row r="47" customFormat="false" ht="15" hidden="false" customHeight="false" outlineLevel="0" collapsed="false">
      <c r="A47" s="9"/>
      <c r="B47" s="9"/>
      <c r="C47" s="9"/>
      <c r="D47" s="9"/>
      <c r="E47" s="9"/>
      <c r="F47" s="10" t="str">
        <f aca="false">IF(A47="","",IF(K47&lt;&gt;"",IFERROR(IF(INDEX($E$2:$E$201,MATCH(K47,$A$2:$A$201,0))="",K47,INDEX($E$2:$E$201,MATCH(K47,$A$2:$A$201,0))),K47)&amp;"/","")&amp;IF(J47&lt;&gt;"",IFERROR(IF(INDEX($E$2:$E$201,MATCH(J47,$A$2:$A$201,0))="",J47,INDEX($E$2:$E$201,MATCH(J47,$A$2:$A$201,0))),J47)&amp;"/","")&amp;IF(I47&lt;&gt;"",IFERROR(IF(INDEX($E$2:$E$201,MATCH(I47,$A$2:$A$201,0))="",I47,INDEX($E$2:$E$201,MATCH(I47,$A$2:$A$201,0))),I47)&amp;"/","")&amp;IF(H47&lt;&gt;"",IFERROR(IF(INDEX($E$2:$E$201,MATCH(H47,$A$2:$A$201,0))="",H47,INDEX($E$2:$E$201,MATCH(H47,$A$2:$A$201,0))),H47)&amp;"/","")&amp;IF(E47="",A47,E47))</f>
        <v/>
      </c>
      <c r="G47" s="10" t="str">
        <f aca="false">IF(A47="","",IF(SUMPRODUCT(--EXACT($A$2:$A$201,A47))&gt;1,"Duplicate ID",IF(SUMPRODUCT(--EXACT('1 Types'!$A$2:$A$201,C47))=0,"Type is not on the Types sheet",IF(AND(D47&lt;&gt;"",NOT(SUMPRODUCT(--EXACT($A$2:$A$201,D47))&gt;0)),"Parent is not an asset",IF(AND(D47="",IFERROR(INDEX('1 Types'!$E$2:$E$201,MATCH(C47,'1 Types'!$A$2:$A$201,0)),"")&lt;&gt;"yes"),"Needs a parent",IF(OR(L47&lt;&gt;"",H47=A47,I47=A47,J47=A47,K47=A47),"Parent loop, or more than five levels","ok"))))))</f>
        <v/>
      </c>
      <c r="H47" s="10" t="str">
        <f aca="false">IF(A47="","",D47)</f>
        <v/>
      </c>
      <c r="I47" s="10" t="str">
        <f aca="false">IF(H47="","",IFERROR(INDEX($D$2:$D$201,MATCH(H47,$A$2:$A$201,0)),""))</f>
        <v/>
      </c>
      <c r="J47" s="10" t="str">
        <f aca="false">IF(I47="","",IFERROR(INDEX($D$2:$D$201,MATCH(I47,$A$2:$A$201,0)),""))</f>
        <v/>
      </c>
      <c r="K47" s="10" t="str">
        <f aca="false">IF(J47="","",IFERROR(INDEX($D$2:$D$201,MATCH(J47,$A$2:$A$201,0)),""))</f>
        <v/>
      </c>
      <c r="L47" s="10" t="str">
        <f aca="false">IF(K47="","",IFERROR(INDEX($D$2:$D$201,MATCH(K47,$A$2:$A$201,0)),""))</f>
        <v/>
      </c>
      <c r="M47" s="10" t="str">
        <f aca="false">IF(A47="","",IF(K47&lt;&gt;"",K47,IF(J47&lt;&gt;"",J47,IF(I47&lt;&gt;"",I47,IF(H47&lt;&gt;"",H47,A47)))))</f>
        <v/>
      </c>
    </row>
    <row r="48" customFormat="false" ht="15" hidden="false" customHeight="false" outlineLevel="0" collapsed="false">
      <c r="A48" s="9"/>
      <c r="B48" s="9"/>
      <c r="C48" s="9"/>
      <c r="D48" s="9"/>
      <c r="E48" s="9"/>
      <c r="F48" s="10" t="str">
        <f aca="false">IF(A48="","",IF(K48&lt;&gt;"",IFERROR(IF(INDEX($E$2:$E$201,MATCH(K48,$A$2:$A$201,0))="",K48,INDEX($E$2:$E$201,MATCH(K48,$A$2:$A$201,0))),K48)&amp;"/","")&amp;IF(J48&lt;&gt;"",IFERROR(IF(INDEX($E$2:$E$201,MATCH(J48,$A$2:$A$201,0))="",J48,INDEX($E$2:$E$201,MATCH(J48,$A$2:$A$201,0))),J48)&amp;"/","")&amp;IF(I48&lt;&gt;"",IFERROR(IF(INDEX($E$2:$E$201,MATCH(I48,$A$2:$A$201,0))="",I48,INDEX($E$2:$E$201,MATCH(I48,$A$2:$A$201,0))),I48)&amp;"/","")&amp;IF(H48&lt;&gt;"",IFERROR(IF(INDEX($E$2:$E$201,MATCH(H48,$A$2:$A$201,0))="",H48,INDEX($E$2:$E$201,MATCH(H48,$A$2:$A$201,0))),H48)&amp;"/","")&amp;IF(E48="",A48,E48))</f>
        <v/>
      </c>
      <c r="G48" s="10" t="str">
        <f aca="false">IF(A48="","",IF(SUMPRODUCT(--EXACT($A$2:$A$201,A48))&gt;1,"Duplicate ID",IF(SUMPRODUCT(--EXACT('1 Types'!$A$2:$A$201,C48))=0,"Type is not on the Types sheet",IF(AND(D48&lt;&gt;"",NOT(SUMPRODUCT(--EXACT($A$2:$A$201,D48))&gt;0)),"Parent is not an asset",IF(AND(D48="",IFERROR(INDEX('1 Types'!$E$2:$E$201,MATCH(C48,'1 Types'!$A$2:$A$201,0)),"")&lt;&gt;"yes"),"Needs a parent",IF(OR(L48&lt;&gt;"",H48=A48,I48=A48,J48=A48,K48=A48),"Parent loop, or more than five levels","ok"))))))</f>
        <v/>
      </c>
      <c r="H48" s="10" t="str">
        <f aca="false">IF(A48="","",D48)</f>
        <v/>
      </c>
      <c r="I48" s="10" t="str">
        <f aca="false">IF(H48="","",IFERROR(INDEX($D$2:$D$201,MATCH(H48,$A$2:$A$201,0)),""))</f>
        <v/>
      </c>
      <c r="J48" s="10" t="str">
        <f aca="false">IF(I48="","",IFERROR(INDEX($D$2:$D$201,MATCH(I48,$A$2:$A$201,0)),""))</f>
        <v/>
      </c>
      <c r="K48" s="10" t="str">
        <f aca="false">IF(J48="","",IFERROR(INDEX($D$2:$D$201,MATCH(J48,$A$2:$A$201,0)),""))</f>
        <v/>
      </c>
      <c r="L48" s="10" t="str">
        <f aca="false">IF(K48="","",IFERROR(INDEX($D$2:$D$201,MATCH(K48,$A$2:$A$201,0)),""))</f>
        <v/>
      </c>
      <c r="M48" s="10" t="str">
        <f aca="false">IF(A48="","",IF(K48&lt;&gt;"",K48,IF(J48&lt;&gt;"",J48,IF(I48&lt;&gt;"",I48,IF(H48&lt;&gt;"",H48,A48)))))</f>
        <v/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10" t="str">
        <f aca="false">IF(A49="","",IF(K49&lt;&gt;"",IFERROR(IF(INDEX($E$2:$E$201,MATCH(K49,$A$2:$A$201,0))="",K49,INDEX($E$2:$E$201,MATCH(K49,$A$2:$A$201,0))),K49)&amp;"/","")&amp;IF(J49&lt;&gt;"",IFERROR(IF(INDEX($E$2:$E$201,MATCH(J49,$A$2:$A$201,0))="",J49,INDEX($E$2:$E$201,MATCH(J49,$A$2:$A$201,0))),J49)&amp;"/","")&amp;IF(I49&lt;&gt;"",IFERROR(IF(INDEX($E$2:$E$201,MATCH(I49,$A$2:$A$201,0))="",I49,INDEX($E$2:$E$201,MATCH(I49,$A$2:$A$201,0))),I49)&amp;"/","")&amp;IF(H49&lt;&gt;"",IFERROR(IF(INDEX($E$2:$E$201,MATCH(H49,$A$2:$A$201,0))="",H49,INDEX($E$2:$E$201,MATCH(H49,$A$2:$A$201,0))),H49)&amp;"/","")&amp;IF(E49="",A49,E49))</f>
        <v/>
      </c>
      <c r="G49" s="10" t="str">
        <f aca="false">IF(A49="","",IF(SUMPRODUCT(--EXACT($A$2:$A$201,A49))&gt;1,"Duplicate ID",IF(SUMPRODUCT(--EXACT('1 Types'!$A$2:$A$201,C49))=0,"Type is not on the Types sheet",IF(AND(D49&lt;&gt;"",NOT(SUMPRODUCT(--EXACT($A$2:$A$201,D49))&gt;0)),"Parent is not an asset",IF(AND(D49="",IFERROR(INDEX('1 Types'!$E$2:$E$201,MATCH(C49,'1 Types'!$A$2:$A$201,0)),"")&lt;&gt;"yes"),"Needs a parent",IF(OR(L49&lt;&gt;"",H49=A49,I49=A49,J49=A49,K49=A49),"Parent loop, or more than five levels","ok"))))))</f>
        <v/>
      </c>
      <c r="H49" s="10" t="str">
        <f aca="false">IF(A49="","",D49)</f>
        <v/>
      </c>
      <c r="I49" s="10" t="str">
        <f aca="false">IF(H49="","",IFERROR(INDEX($D$2:$D$201,MATCH(H49,$A$2:$A$201,0)),""))</f>
        <v/>
      </c>
      <c r="J49" s="10" t="str">
        <f aca="false">IF(I49="","",IFERROR(INDEX($D$2:$D$201,MATCH(I49,$A$2:$A$201,0)),""))</f>
        <v/>
      </c>
      <c r="K49" s="10" t="str">
        <f aca="false">IF(J49="","",IFERROR(INDEX($D$2:$D$201,MATCH(J49,$A$2:$A$201,0)),""))</f>
        <v/>
      </c>
      <c r="L49" s="10" t="str">
        <f aca="false">IF(K49="","",IFERROR(INDEX($D$2:$D$201,MATCH(K49,$A$2:$A$201,0)),""))</f>
        <v/>
      </c>
      <c r="M49" s="10" t="str">
        <f aca="false">IF(A49="","",IF(K49&lt;&gt;"",K49,IF(J49&lt;&gt;"",J49,IF(I49&lt;&gt;"",I49,IF(H49&lt;&gt;"",H49,A49)))))</f>
        <v/>
      </c>
    </row>
    <row r="50" customFormat="false" ht="15" hidden="false" customHeight="false" outlineLevel="0" collapsed="false">
      <c r="A50" s="9"/>
      <c r="B50" s="9"/>
      <c r="C50" s="9"/>
      <c r="D50" s="9"/>
      <c r="E50" s="9"/>
      <c r="F50" s="10" t="str">
        <f aca="false">IF(A50="","",IF(K50&lt;&gt;"",IFERROR(IF(INDEX($E$2:$E$201,MATCH(K50,$A$2:$A$201,0))="",K50,INDEX($E$2:$E$201,MATCH(K50,$A$2:$A$201,0))),K50)&amp;"/","")&amp;IF(J50&lt;&gt;"",IFERROR(IF(INDEX($E$2:$E$201,MATCH(J50,$A$2:$A$201,0))="",J50,INDEX($E$2:$E$201,MATCH(J50,$A$2:$A$201,0))),J50)&amp;"/","")&amp;IF(I50&lt;&gt;"",IFERROR(IF(INDEX($E$2:$E$201,MATCH(I50,$A$2:$A$201,0))="",I50,INDEX($E$2:$E$201,MATCH(I50,$A$2:$A$201,0))),I50)&amp;"/","")&amp;IF(H50&lt;&gt;"",IFERROR(IF(INDEX($E$2:$E$201,MATCH(H50,$A$2:$A$201,0))="",H50,INDEX($E$2:$E$201,MATCH(H50,$A$2:$A$201,0))),H50)&amp;"/","")&amp;IF(E50="",A50,E50))</f>
        <v/>
      </c>
      <c r="G50" s="10" t="str">
        <f aca="false">IF(A50="","",IF(SUMPRODUCT(--EXACT($A$2:$A$201,A50))&gt;1,"Duplicate ID",IF(SUMPRODUCT(--EXACT('1 Types'!$A$2:$A$201,C50))=0,"Type is not on the Types sheet",IF(AND(D50&lt;&gt;"",NOT(SUMPRODUCT(--EXACT($A$2:$A$201,D50))&gt;0)),"Parent is not an asset",IF(AND(D50="",IFERROR(INDEX('1 Types'!$E$2:$E$201,MATCH(C50,'1 Types'!$A$2:$A$201,0)),"")&lt;&gt;"yes"),"Needs a parent",IF(OR(L50&lt;&gt;"",H50=A50,I50=A50,J50=A50,K50=A50),"Parent loop, or more than five levels","ok"))))))</f>
        <v/>
      </c>
      <c r="H50" s="10" t="str">
        <f aca="false">IF(A50="","",D50)</f>
        <v/>
      </c>
      <c r="I50" s="10" t="str">
        <f aca="false">IF(H50="","",IFERROR(INDEX($D$2:$D$201,MATCH(H50,$A$2:$A$201,0)),""))</f>
        <v/>
      </c>
      <c r="J50" s="10" t="str">
        <f aca="false">IF(I50="","",IFERROR(INDEX($D$2:$D$201,MATCH(I50,$A$2:$A$201,0)),""))</f>
        <v/>
      </c>
      <c r="K50" s="10" t="str">
        <f aca="false">IF(J50="","",IFERROR(INDEX($D$2:$D$201,MATCH(J50,$A$2:$A$201,0)),""))</f>
        <v/>
      </c>
      <c r="L50" s="10" t="str">
        <f aca="false">IF(K50="","",IFERROR(INDEX($D$2:$D$201,MATCH(K50,$A$2:$A$201,0)),""))</f>
        <v/>
      </c>
      <c r="M50" s="10" t="str">
        <f aca="false">IF(A50="","",IF(K50&lt;&gt;"",K50,IF(J50&lt;&gt;"",J50,IF(I50&lt;&gt;"",I50,IF(H50&lt;&gt;"",H50,A50)))))</f>
        <v/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10" t="str">
        <f aca="false">IF(A51="","",IF(K51&lt;&gt;"",IFERROR(IF(INDEX($E$2:$E$201,MATCH(K51,$A$2:$A$201,0))="",K51,INDEX($E$2:$E$201,MATCH(K51,$A$2:$A$201,0))),K51)&amp;"/","")&amp;IF(J51&lt;&gt;"",IFERROR(IF(INDEX($E$2:$E$201,MATCH(J51,$A$2:$A$201,0))="",J51,INDEX($E$2:$E$201,MATCH(J51,$A$2:$A$201,0))),J51)&amp;"/","")&amp;IF(I51&lt;&gt;"",IFERROR(IF(INDEX($E$2:$E$201,MATCH(I51,$A$2:$A$201,0))="",I51,INDEX($E$2:$E$201,MATCH(I51,$A$2:$A$201,0))),I51)&amp;"/","")&amp;IF(H51&lt;&gt;"",IFERROR(IF(INDEX($E$2:$E$201,MATCH(H51,$A$2:$A$201,0))="",H51,INDEX($E$2:$E$201,MATCH(H51,$A$2:$A$201,0))),H51)&amp;"/","")&amp;IF(E51="",A51,E51))</f>
        <v/>
      </c>
      <c r="G51" s="10" t="str">
        <f aca="false">IF(A51="","",IF(SUMPRODUCT(--EXACT($A$2:$A$201,A51))&gt;1,"Duplicate ID",IF(SUMPRODUCT(--EXACT('1 Types'!$A$2:$A$201,C51))=0,"Type is not on the Types sheet",IF(AND(D51&lt;&gt;"",NOT(SUMPRODUCT(--EXACT($A$2:$A$201,D51))&gt;0)),"Parent is not an asset",IF(AND(D51="",IFERROR(INDEX('1 Types'!$E$2:$E$201,MATCH(C51,'1 Types'!$A$2:$A$201,0)),"")&lt;&gt;"yes"),"Needs a parent",IF(OR(L51&lt;&gt;"",H51=A51,I51=A51,J51=A51,K51=A51),"Parent loop, or more than five levels","ok"))))))</f>
        <v/>
      </c>
      <c r="H51" s="10" t="str">
        <f aca="false">IF(A51="","",D51)</f>
        <v/>
      </c>
      <c r="I51" s="10" t="str">
        <f aca="false">IF(H51="","",IFERROR(INDEX($D$2:$D$201,MATCH(H51,$A$2:$A$201,0)),""))</f>
        <v/>
      </c>
      <c r="J51" s="10" t="str">
        <f aca="false">IF(I51="","",IFERROR(INDEX($D$2:$D$201,MATCH(I51,$A$2:$A$201,0)),""))</f>
        <v/>
      </c>
      <c r="K51" s="10" t="str">
        <f aca="false">IF(J51="","",IFERROR(INDEX($D$2:$D$201,MATCH(J51,$A$2:$A$201,0)),""))</f>
        <v/>
      </c>
      <c r="L51" s="10" t="str">
        <f aca="false">IF(K51="","",IFERROR(INDEX($D$2:$D$201,MATCH(K51,$A$2:$A$201,0)),""))</f>
        <v/>
      </c>
      <c r="M51" s="10" t="str">
        <f aca="false">IF(A51="","",IF(K51&lt;&gt;"",K51,IF(J51&lt;&gt;"",J51,IF(I51&lt;&gt;"",I51,IF(H51&lt;&gt;"",H51,A51)))))</f>
        <v/>
      </c>
    </row>
    <row r="52" customFormat="false" ht="15" hidden="false" customHeight="false" outlineLevel="0" collapsed="false">
      <c r="A52" s="9"/>
      <c r="B52" s="9"/>
      <c r="C52" s="9"/>
      <c r="D52" s="9"/>
      <c r="E52" s="9"/>
      <c r="F52" s="10" t="str">
        <f aca="false">IF(A52="","",IF(K52&lt;&gt;"",IFERROR(IF(INDEX($E$2:$E$201,MATCH(K52,$A$2:$A$201,0))="",K52,INDEX($E$2:$E$201,MATCH(K52,$A$2:$A$201,0))),K52)&amp;"/","")&amp;IF(J52&lt;&gt;"",IFERROR(IF(INDEX($E$2:$E$201,MATCH(J52,$A$2:$A$201,0))="",J52,INDEX($E$2:$E$201,MATCH(J52,$A$2:$A$201,0))),J52)&amp;"/","")&amp;IF(I52&lt;&gt;"",IFERROR(IF(INDEX($E$2:$E$201,MATCH(I52,$A$2:$A$201,0))="",I52,INDEX($E$2:$E$201,MATCH(I52,$A$2:$A$201,0))),I52)&amp;"/","")&amp;IF(H52&lt;&gt;"",IFERROR(IF(INDEX($E$2:$E$201,MATCH(H52,$A$2:$A$201,0))="",H52,INDEX($E$2:$E$201,MATCH(H52,$A$2:$A$201,0))),H52)&amp;"/","")&amp;IF(E52="",A52,E52))</f>
        <v/>
      </c>
      <c r="G52" s="10" t="str">
        <f aca="false">IF(A52="","",IF(SUMPRODUCT(--EXACT($A$2:$A$201,A52))&gt;1,"Duplicate ID",IF(SUMPRODUCT(--EXACT('1 Types'!$A$2:$A$201,C52))=0,"Type is not on the Types sheet",IF(AND(D52&lt;&gt;"",NOT(SUMPRODUCT(--EXACT($A$2:$A$201,D52))&gt;0)),"Parent is not an asset",IF(AND(D52="",IFERROR(INDEX('1 Types'!$E$2:$E$201,MATCH(C52,'1 Types'!$A$2:$A$201,0)),"")&lt;&gt;"yes"),"Needs a parent",IF(OR(L52&lt;&gt;"",H52=A52,I52=A52,J52=A52,K52=A52),"Parent loop, or more than five levels","ok"))))))</f>
        <v/>
      </c>
      <c r="H52" s="10" t="str">
        <f aca="false">IF(A52="","",D52)</f>
        <v/>
      </c>
      <c r="I52" s="10" t="str">
        <f aca="false">IF(H52="","",IFERROR(INDEX($D$2:$D$201,MATCH(H52,$A$2:$A$201,0)),""))</f>
        <v/>
      </c>
      <c r="J52" s="10" t="str">
        <f aca="false">IF(I52="","",IFERROR(INDEX($D$2:$D$201,MATCH(I52,$A$2:$A$201,0)),""))</f>
        <v/>
      </c>
      <c r="K52" s="10" t="str">
        <f aca="false">IF(J52="","",IFERROR(INDEX($D$2:$D$201,MATCH(J52,$A$2:$A$201,0)),""))</f>
        <v/>
      </c>
      <c r="L52" s="10" t="str">
        <f aca="false">IF(K52="","",IFERROR(INDEX($D$2:$D$201,MATCH(K52,$A$2:$A$201,0)),""))</f>
        <v/>
      </c>
      <c r="M52" s="10" t="str">
        <f aca="false">IF(A52="","",IF(K52&lt;&gt;"",K52,IF(J52&lt;&gt;"",J52,IF(I52&lt;&gt;"",I52,IF(H52&lt;&gt;"",H52,A52)))))</f>
        <v/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10" t="str">
        <f aca="false">IF(A53="","",IF(K53&lt;&gt;"",IFERROR(IF(INDEX($E$2:$E$201,MATCH(K53,$A$2:$A$201,0))="",K53,INDEX($E$2:$E$201,MATCH(K53,$A$2:$A$201,0))),K53)&amp;"/","")&amp;IF(J53&lt;&gt;"",IFERROR(IF(INDEX($E$2:$E$201,MATCH(J53,$A$2:$A$201,0))="",J53,INDEX($E$2:$E$201,MATCH(J53,$A$2:$A$201,0))),J53)&amp;"/","")&amp;IF(I53&lt;&gt;"",IFERROR(IF(INDEX($E$2:$E$201,MATCH(I53,$A$2:$A$201,0))="",I53,INDEX($E$2:$E$201,MATCH(I53,$A$2:$A$201,0))),I53)&amp;"/","")&amp;IF(H53&lt;&gt;"",IFERROR(IF(INDEX($E$2:$E$201,MATCH(H53,$A$2:$A$201,0))="",H53,INDEX($E$2:$E$201,MATCH(H53,$A$2:$A$201,0))),H53)&amp;"/","")&amp;IF(E53="",A53,E53))</f>
        <v/>
      </c>
      <c r="G53" s="10" t="str">
        <f aca="false">IF(A53="","",IF(SUMPRODUCT(--EXACT($A$2:$A$201,A53))&gt;1,"Duplicate ID",IF(SUMPRODUCT(--EXACT('1 Types'!$A$2:$A$201,C53))=0,"Type is not on the Types sheet",IF(AND(D53&lt;&gt;"",NOT(SUMPRODUCT(--EXACT($A$2:$A$201,D53))&gt;0)),"Parent is not an asset",IF(AND(D53="",IFERROR(INDEX('1 Types'!$E$2:$E$201,MATCH(C53,'1 Types'!$A$2:$A$201,0)),"")&lt;&gt;"yes"),"Needs a parent",IF(OR(L53&lt;&gt;"",H53=A53,I53=A53,J53=A53,K53=A53),"Parent loop, or more than five levels","ok"))))))</f>
        <v/>
      </c>
      <c r="H53" s="10" t="str">
        <f aca="false">IF(A53="","",D53)</f>
        <v/>
      </c>
      <c r="I53" s="10" t="str">
        <f aca="false">IF(H53="","",IFERROR(INDEX($D$2:$D$201,MATCH(H53,$A$2:$A$201,0)),""))</f>
        <v/>
      </c>
      <c r="J53" s="10" t="str">
        <f aca="false">IF(I53="","",IFERROR(INDEX($D$2:$D$201,MATCH(I53,$A$2:$A$201,0)),""))</f>
        <v/>
      </c>
      <c r="K53" s="10" t="str">
        <f aca="false">IF(J53="","",IFERROR(INDEX($D$2:$D$201,MATCH(J53,$A$2:$A$201,0)),""))</f>
        <v/>
      </c>
      <c r="L53" s="10" t="str">
        <f aca="false">IF(K53="","",IFERROR(INDEX($D$2:$D$201,MATCH(K53,$A$2:$A$201,0)),""))</f>
        <v/>
      </c>
      <c r="M53" s="10" t="str">
        <f aca="false">IF(A53="","",IF(K53&lt;&gt;"",K53,IF(J53&lt;&gt;"",J53,IF(I53&lt;&gt;"",I53,IF(H53&lt;&gt;"",H53,A53)))))</f>
        <v/>
      </c>
    </row>
    <row r="54" customFormat="false" ht="15" hidden="false" customHeight="false" outlineLevel="0" collapsed="false">
      <c r="A54" s="9"/>
      <c r="B54" s="9"/>
      <c r="C54" s="9"/>
      <c r="D54" s="9"/>
      <c r="E54" s="9"/>
      <c r="F54" s="10" t="str">
        <f aca="false">IF(A54="","",IF(K54&lt;&gt;"",IFERROR(IF(INDEX($E$2:$E$201,MATCH(K54,$A$2:$A$201,0))="",K54,INDEX($E$2:$E$201,MATCH(K54,$A$2:$A$201,0))),K54)&amp;"/","")&amp;IF(J54&lt;&gt;"",IFERROR(IF(INDEX($E$2:$E$201,MATCH(J54,$A$2:$A$201,0))="",J54,INDEX($E$2:$E$201,MATCH(J54,$A$2:$A$201,0))),J54)&amp;"/","")&amp;IF(I54&lt;&gt;"",IFERROR(IF(INDEX($E$2:$E$201,MATCH(I54,$A$2:$A$201,0))="",I54,INDEX($E$2:$E$201,MATCH(I54,$A$2:$A$201,0))),I54)&amp;"/","")&amp;IF(H54&lt;&gt;"",IFERROR(IF(INDEX($E$2:$E$201,MATCH(H54,$A$2:$A$201,0))="",H54,INDEX($E$2:$E$201,MATCH(H54,$A$2:$A$201,0))),H54)&amp;"/","")&amp;IF(E54="",A54,E54))</f>
        <v/>
      </c>
      <c r="G54" s="10" t="str">
        <f aca="false">IF(A54="","",IF(SUMPRODUCT(--EXACT($A$2:$A$201,A54))&gt;1,"Duplicate ID",IF(SUMPRODUCT(--EXACT('1 Types'!$A$2:$A$201,C54))=0,"Type is not on the Types sheet",IF(AND(D54&lt;&gt;"",NOT(SUMPRODUCT(--EXACT($A$2:$A$201,D54))&gt;0)),"Parent is not an asset",IF(AND(D54="",IFERROR(INDEX('1 Types'!$E$2:$E$201,MATCH(C54,'1 Types'!$A$2:$A$201,0)),"")&lt;&gt;"yes"),"Needs a parent",IF(OR(L54&lt;&gt;"",H54=A54,I54=A54,J54=A54,K54=A54),"Parent loop, or more than five levels","ok"))))))</f>
        <v/>
      </c>
      <c r="H54" s="10" t="str">
        <f aca="false">IF(A54="","",D54)</f>
        <v/>
      </c>
      <c r="I54" s="10" t="str">
        <f aca="false">IF(H54="","",IFERROR(INDEX($D$2:$D$201,MATCH(H54,$A$2:$A$201,0)),""))</f>
        <v/>
      </c>
      <c r="J54" s="10" t="str">
        <f aca="false">IF(I54="","",IFERROR(INDEX($D$2:$D$201,MATCH(I54,$A$2:$A$201,0)),""))</f>
        <v/>
      </c>
      <c r="K54" s="10" t="str">
        <f aca="false">IF(J54="","",IFERROR(INDEX($D$2:$D$201,MATCH(J54,$A$2:$A$201,0)),""))</f>
        <v/>
      </c>
      <c r="L54" s="10" t="str">
        <f aca="false">IF(K54="","",IFERROR(INDEX($D$2:$D$201,MATCH(K54,$A$2:$A$201,0)),""))</f>
        <v/>
      </c>
      <c r="M54" s="10" t="str">
        <f aca="false">IF(A54="","",IF(K54&lt;&gt;"",K54,IF(J54&lt;&gt;"",J54,IF(I54&lt;&gt;"",I54,IF(H54&lt;&gt;"",H54,A54)))))</f>
        <v/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10" t="str">
        <f aca="false">IF(A55="","",IF(K55&lt;&gt;"",IFERROR(IF(INDEX($E$2:$E$201,MATCH(K55,$A$2:$A$201,0))="",K55,INDEX($E$2:$E$201,MATCH(K55,$A$2:$A$201,0))),K55)&amp;"/","")&amp;IF(J55&lt;&gt;"",IFERROR(IF(INDEX($E$2:$E$201,MATCH(J55,$A$2:$A$201,0))="",J55,INDEX($E$2:$E$201,MATCH(J55,$A$2:$A$201,0))),J55)&amp;"/","")&amp;IF(I55&lt;&gt;"",IFERROR(IF(INDEX($E$2:$E$201,MATCH(I55,$A$2:$A$201,0))="",I55,INDEX($E$2:$E$201,MATCH(I55,$A$2:$A$201,0))),I55)&amp;"/","")&amp;IF(H55&lt;&gt;"",IFERROR(IF(INDEX($E$2:$E$201,MATCH(H55,$A$2:$A$201,0))="",H55,INDEX($E$2:$E$201,MATCH(H55,$A$2:$A$201,0))),H55)&amp;"/","")&amp;IF(E55="",A55,E55))</f>
        <v/>
      </c>
      <c r="G55" s="10" t="str">
        <f aca="false">IF(A55="","",IF(SUMPRODUCT(--EXACT($A$2:$A$201,A55))&gt;1,"Duplicate ID",IF(SUMPRODUCT(--EXACT('1 Types'!$A$2:$A$201,C55))=0,"Type is not on the Types sheet",IF(AND(D55&lt;&gt;"",NOT(SUMPRODUCT(--EXACT($A$2:$A$201,D55))&gt;0)),"Parent is not an asset",IF(AND(D55="",IFERROR(INDEX('1 Types'!$E$2:$E$201,MATCH(C55,'1 Types'!$A$2:$A$201,0)),"")&lt;&gt;"yes"),"Needs a parent",IF(OR(L55&lt;&gt;"",H55=A55,I55=A55,J55=A55,K55=A55),"Parent loop, or more than five levels","ok"))))))</f>
        <v/>
      </c>
      <c r="H55" s="10" t="str">
        <f aca="false">IF(A55="","",D55)</f>
        <v/>
      </c>
      <c r="I55" s="10" t="str">
        <f aca="false">IF(H55="","",IFERROR(INDEX($D$2:$D$201,MATCH(H55,$A$2:$A$201,0)),""))</f>
        <v/>
      </c>
      <c r="J55" s="10" t="str">
        <f aca="false">IF(I55="","",IFERROR(INDEX($D$2:$D$201,MATCH(I55,$A$2:$A$201,0)),""))</f>
        <v/>
      </c>
      <c r="K55" s="10" t="str">
        <f aca="false">IF(J55="","",IFERROR(INDEX($D$2:$D$201,MATCH(J55,$A$2:$A$201,0)),""))</f>
        <v/>
      </c>
      <c r="L55" s="10" t="str">
        <f aca="false">IF(K55="","",IFERROR(INDEX($D$2:$D$201,MATCH(K55,$A$2:$A$201,0)),""))</f>
        <v/>
      </c>
      <c r="M55" s="10" t="str">
        <f aca="false">IF(A55="","",IF(K55&lt;&gt;"",K55,IF(J55&lt;&gt;"",J55,IF(I55&lt;&gt;"",I55,IF(H55&lt;&gt;"",H55,A55)))))</f>
        <v/>
      </c>
    </row>
    <row r="56" customFormat="false" ht="15" hidden="false" customHeight="false" outlineLevel="0" collapsed="false">
      <c r="A56" s="9"/>
      <c r="B56" s="9"/>
      <c r="C56" s="9"/>
      <c r="D56" s="9"/>
      <c r="E56" s="9"/>
      <c r="F56" s="10" t="str">
        <f aca="false">IF(A56="","",IF(K56&lt;&gt;"",IFERROR(IF(INDEX($E$2:$E$201,MATCH(K56,$A$2:$A$201,0))="",K56,INDEX($E$2:$E$201,MATCH(K56,$A$2:$A$201,0))),K56)&amp;"/","")&amp;IF(J56&lt;&gt;"",IFERROR(IF(INDEX($E$2:$E$201,MATCH(J56,$A$2:$A$201,0))="",J56,INDEX($E$2:$E$201,MATCH(J56,$A$2:$A$201,0))),J56)&amp;"/","")&amp;IF(I56&lt;&gt;"",IFERROR(IF(INDEX($E$2:$E$201,MATCH(I56,$A$2:$A$201,0))="",I56,INDEX($E$2:$E$201,MATCH(I56,$A$2:$A$201,0))),I56)&amp;"/","")&amp;IF(H56&lt;&gt;"",IFERROR(IF(INDEX($E$2:$E$201,MATCH(H56,$A$2:$A$201,0))="",H56,INDEX($E$2:$E$201,MATCH(H56,$A$2:$A$201,0))),H56)&amp;"/","")&amp;IF(E56="",A56,E56))</f>
        <v/>
      </c>
      <c r="G56" s="10" t="str">
        <f aca="false">IF(A56="","",IF(SUMPRODUCT(--EXACT($A$2:$A$201,A56))&gt;1,"Duplicate ID",IF(SUMPRODUCT(--EXACT('1 Types'!$A$2:$A$201,C56))=0,"Type is not on the Types sheet",IF(AND(D56&lt;&gt;"",NOT(SUMPRODUCT(--EXACT($A$2:$A$201,D56))&gt;0)),"Parent is not an asset",IF(AND(D56="",IFERROR(INDEX('1 Types'!$E$2:$E$201,MATCH(C56,'1 Types'!$A$2:$A$201,0)),"")&lt;&gt;"yes"),"Needs a parent",IF(OR(L56&lt;&gt;"",H56=A56,I56=A56,J56=A56,K56=A56),"Parent loop, or more than five levels","ok"))))))</f>
        <v/>
      </c>
      <c r="H56" s="10" t="str">
        <f aca="false">IF(A56="","",D56)</f>
        <v/>
      </c>
      <c r="I56" s="10" t="str">
        <f aca="false">IF(H56="","",IFERROR(INDEX($D$2:$D$201,MATCH(H56,$A$2:$A$201,0)),""))</f>
        <v/>
      </c>
      <c r="J56" s="10" t="str">
        <f aca="false">IF(I56="","",IFERROR(INDEX($D$2:$D$201,MATCH(I56,$A$2:$A$201,0)),""))</f>
        <v/>
      </c>
      <c r="K56" s="10" t="str">
        <f aca="false">IF(J56="","",IFERROR(INDEX($D$2:$D$201,MATCH(J56,$A$2:$A$201,0)),""))</f>
        <v/>
      </c>
      <c r="L56" s="10" t="str">
        <f aca="false">IF(K56="","",IFERROR(INDEX($D$2:$D$201,MATCH(K56,$A$2:$A$201,0)),""))</f>
        <v/>
      </c>
      <c r="M56" s="10" t="str">
        <f aca="false">IF(A56="","",IF(K56&lt;&gt;"",K56,IF(J56&lt;&gt;"",J56,IF(I56&lt;&gt;"",I56,IF(H56&lt;&gt;"",H56,A56)))))</f>
        <v/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10" t="str">
        <f aca="false">IF(A57="","",IF(K57&lt;&gt;"",IFERROR(IF(INDEX($E$2:$E$201,MATCH(K57,$A$2:$A$201,0))="",K57,INDEX($E$2:$E$201,MATCH(K57,$A$2:$A$201,0))),K57)&amp;"/","")&amp;IF(J57&lt;&gt;"",IFERROR(IF(INDEX($E$2:$E$201,MATCH(J57,$A$2:$A$201,0))="",J57,INDEX($E$2:$E$201,MATCH(J57,$A$2:$A$201,0))),J57)&amp;"/","")&amp;IF(I57&lt;&gt;"",IFERROR(IF(INDEX($E$2:$E$201,MATCH(I57,$A$2:$A$201,0))="",I57,INDEX($E$2:$E$201,MATCH(I57,$A$2:$A$201,0))),I57)&amp;"/","")&amp;IF(H57&lt;&gt;"",IFERROR(IF(INDEX($E$2:$E$201,MATCH(H57,$A$2:$A$201,0))="",H57,INDEX($E$2:$E$201,MATCH(H57,$A$2:$A$201,0))),H57)&amp;"/","")&amp;IF(E57="",A57,E57))</f>
        <v/>
      </c>
      <c r="G57" s="10" t="str">
        <f aca="false">IF(A57="","",IF(SUMPRODUCT(--EXACT($A$2:$A$201,A57))&gt;1,"Duplicate ID",IF(SUMPRODUCT(--EXACT('1 Types'!$A$2:$A$201,C57))=0,"Type is not on the Types sheet",IF(AND(D57&lt;&gt;"",NOT(SUMPRODUCT(--EXACT($A$2:$A$201,D57))&gt;0)),"Parent is not an asset",IF(AND(D57="",IFERROR(INDEX('1 Types'!$E$2:$E$201,MATCH(C57,'1 Types'!$A$2:$A$201,0)),"")&lt;&gt;"yes"),"Needs a parent",IF(OR(L57&lt;&gt;"",H57=A57,I57=A57,J57=A57,K57=A57),"Parent loop, or more than five levels","ok"))))))</f>
        <v/>
      </c>
      <c r="H57" s="10" t="str">
        <f aca="false">IF(A57="","",D57)</f>
        <v/>
      </c>
      <c r="I57" s="10" t="str">
        <f aca="false">IF(H57="","",IFERROR(INDEX($D$2:$D$201,MATCH(H57,$A$2:$A$201,0)),""))</f>
        <v/>
      </c>
      <c r="J57" s="10" t="str">
        <f aca="false">IF(I57="","",IFERROR(INDEX($D$2:$D$201,MATCH(I57,$A$2:$A$201,0)),""))</f>
        <v/>
      </c>
      <c r="K57" s="10" t="str">
        <f aca="false">IF(J57="","",IFERROR(INDEX($D$2:$D$201,MATCH(J57,$A$2:$A$201,0)),""))</f>
        <v/>
      </c>
      <c r="L57" s="10" t="str">
        <f aca="false">IF(K57="","",IFERROR(INDEX($D$2:$D$201,MATCH(K57,$A$2:$A$201,0)),""))</f>
        <v/>
      </c>
      <c r="M57" s="10" t="str">
        <f aca="false">IF(A57="","",IF(K57&lt;&gt;"",K57,IF(J57&lt;&gt;"",J57,IF(I57&lt;&gt;"",I57,IF(H57&lt;&gt;"",H57,A57)))))</f>
        <v/>
      </c>
    </row>
    <row r="58" customFormat="false" ht="15" hidden="false" customHeight="false" outlineLevel="0" collapsed="false">
      <c r="A58" s="9"/>
      <c r="B58" s="9"/>
      <c r="C58" s="9"/>
      <c r="D58" s="9"/>
      <c r="E58" s="9"/>
      <c r="F58" s="10" t="str">
        <f aca="false">IF(A58="","",IF(K58&lt;&gt;"",IFERROR(IF(INDEX($E$2:$E$201,MATCH(K58,$A$2:$A$201,0))="",K58,INDEX($E$2:$E$201,MATCH(K58,$A$2:$A$201,0))),K58)&amp;"/","")&amp;IF(J58&lt;&gt;"",IFERROR(IF(INDEX($E$2:$E$201,MATCH(J58,$A$2:$A$201,0))="",J58,INDEX($E$2:$E$201,MATCH(J58,$A$2:$A$201,0))),J58)&amp;"/","")&amp;IF(I58&lt;&gt;"",IFERROR(IF(INDEX($E$2:$E$201,MATCH(I58,$A$2:$A$201,0))="",I58,INDEX($E$2:$E$201,MATCH(I58,$A$2:$A$201,0))),I58)&amp;"/","")&amp;IF(H58&lt;&gt;"",IFERROR(IF(INDEX($E$2:$E$201,MATCH(H58,$A$2:$A$201,0))="",H58,INDEX($E$2:$E$201,MATCH(H58,$A$2:$A$201,0))),H58)&amp;"/","")&amp;IF(E58="",A58,E58))</f>
        <v/>
      </c>
      <c r="G58" s="10" t="str">
        <f aca="false">IF(A58="","",IF(SUMPRODUCT(--EXACT($A$2:$A$201,A58))&gt;1,"Duplicate ID",IF(SUMPRODUCT(--EXACT('1 Types'!$A$2:$A$201,C58))=0,"Type is not on the Types sheet",IF(AND(D58&lt;&gt;"",NOT(SUMPRODUCT(--EXACT($A$2:$A$201,D58))&gt;0)),"Parent is not an asset",IF(AND(D58="",IFERROR(INDEX('1 Types'!$E$2:$E$201,MATCH(C58,'1 Types'!$A$2:$A$201,0)),"")&lt;&gt;"yes"),"Needs a parent",IF(OR(L58&lt;&gt;"",H58=A58,I58=A58,J58=A58,K58=A58),"Parent loop, or more than five levels","ok"))))))</f>
        <v/>
      </c>
      <c r="H58" s="10" t="str">
        <f aca="false">IF(A58="","",D58)</f>
        <v/>
      </c>
      <c r="I58" s="10" t="str">
        <f aca="false">IF(H58="","",IFERROR(INDEX($D$2:$D$201,MATCH(H58,$A$2:$A$201,0)),""))</f>
        <v/>
      </c>
      <c r="J58" s="10" t="str">
        <f aca="false">IF(I58="","",IFERROR(INDEX($D$2:$D$201,MATCH(I58,$A$2:$A$201,0)),""))</f>
        <v/>
      </c>
      <c r="K58" s="10" t="str">
        <f aca="false">IF(J58="","",IFERROR(INDEX($D$2:$D$201,MATCH(J58,$A$2:$A$201,0)),""))</f>
        <v/>
      </c>
      <c r="L58" s="10" t="str">
        <f aca="false">IF(K58="","",IFERROR(INDEX($D$2:$D$201,MATCH(K58,$A$2:$A$201,0)),""))</f>
        <v/>
      </c>
      <c r="M58" s="10" t="str">
        <f aca="false">IF(A58="","",IF(K58&lt;&gt;"",K58,IF(J58&lt;&gt;"",J58,IF(I58&lt;&gt;"",I58,IF(H58&lt;&gt;"",H58,A58)))))</f>
        <v/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10" t="str">
        <f aca="false">IF(A59="","",IF(K59&lt;&gt;"",IFERROR(IF(INDEX($E$2:$E$201,MATCH(K59,$A$2:$A$201,0))="",K59,INDEX($E$2:$E$201,MATCH(K59,$A$2:$A$201,0))),K59)&amp;"/","")&amp;IF(J59&lt;&gt;"",IFERROR(IF(INDEX($E$2:$E$201,MATCH(J59,$A$2:$A$201,0))="",J59,INDEX($E$2:$E$201,MATCH(J59,$A$2:$A$201,0))),J59)&amp;"/","")&amp;IF(I59&lt;&gt;"",IFERROR(IF(INDEX($E$2:$E$201,MATCH(I59,$A$2:$A$201,0))="",I59,INDEX($E$2:$E$201,MATCH(I59,$A$2:$A$201,0))),I59)&amp;"/","")&amp;IF(H59&lt;&gt;"",IFERROR(IF(INDEX($E$2:$E$201,MATCH(H59,$A$2:$A$201,0))="",H59,INDEX($E$2:$E$201,MATCH(H59,$A$2:$A$201,0))),H59)&amp;"/","")&amp;IF(E59="",A59,E59))</f>
        <v/>
      </c>
      <c r="G59" s="10" t="str">
        <f aca="false">IF(A59="","",IF(SUMPRODUCT(--EXACT($A$2:$A$201,A59))&gt;1,"Duplicate ID",IF(SUMPRODUCT(--EXACT('1 Types'!$A$2:$A$201,C59))=0,"Type is not on the Types sheet",IF(AND(D59&lt;&gt;"",NOT(SUMPRODUCT(--EXACT($A$2:$A$201,D59))&gt;0)),"Parent is not an asset",IF(AND(D59="",IFERROR(INDEX('1 Types'!$E$2:$E$201,MATCH(C59,'1 Types'!$A$2:$A$201,0)),"")&lt;&gt;"yes"),"Needs a parent",IF(OR(L59&lt;&gt;"",H59=A59,I59=A59,J59=A59,K59=A59),"Parent loop, or more than five levels","ok"))))))</f>
        <v/>
      </c>
      <c r="H59" s="10" t="str">
        <f aca="false">IF(A59="","",D59)</f>
        <v/>
      </c>
      <c r="I59" s="10" t="str">
        <f aca="false">IF(H59="","",IFERROR(INDEX($D$2:$D$201,MATCH(H59,$A$2:$A$201,0)),""))</f>
        <v/>
      </c>
      <c r="J59" s="10" t="str">
        <f aca="false">IF(I59="","",IFERROR(INDEX($D$2:$D$201,MATCH(I59,$A$2:$A$201,0)),""))</f>
        <v/>
      </c>
      <c r="K59" s="10" t="str">
        <f aca="false">IF(J59="","",IFERROR(INDEX($D$2:$D$201,MATCH(J59,$A$2:$A$201,0)),""))</f>
        <v/>
      </c>
      <c r="L59" s="10" t="str">
        <f aca="false">IF(K59="","",IFERROR(INDEX($D$2:$D$201,MATCH(K59,$A$2:$A$201,0)),""))</f>
        <v/>
      </c>
      <c r="M59" s="10" t="str">
        <f aca="false">IF(A59="","",IF(K59&lt;&gt;"",K59,IF(J59&lt;&gt;"",J59,IF(I59&lt;&gt;"",I59,IF(H59&lt;&gt;"",H59,A59)))))</f>
        <v/>
      </c>
    </row>
    <row r="60" customFormat="false" ht="15" hidden="false" customHeight="false" outlineLevel="0" collapsed="false">
      <c r="A60" s="9"/>
      <c r="B60" s="9"/>
      <c r="C60" s="9"/>
      <c r="D60" s="9"/>
      <c r="E60" s="9"/>
      <c r="F60" s="10" t="str">
        <f aca="false">IF(A60="","",IF(K60&lt;&gt;"",IFERROR(IF(INDEX($E$2:$E$201,MATCH(K60,$A$2:$A$201,0))="",K60,INDEX($E$2:$E$201,MATCH(K60,$A$2:$A$201,0))),K60)&amp;"/","")&amp;IF(J60&lt;&gt;"",IFERROR(IF(INDEX($E$2:$E$201,MATCH(J60,$A$2:$A$201,0))="",J60,INDEX($E$2:$E$201,MATCH(J60,$A$2:$A$201,0))),J60)&amp;"/","")&amp;IF(I60&lt;&gt;"",IFERROR(IF(INDEX($E$2:$E$201,MATCH(I60,$A$2:$A$201,0))="",I60,INDEX($E$2:$E$201,MATCH(I60,$A$2:$A$201,0))),I60)&amp;"/","")&amp;IF(H60&lt;&gt;"",IFERROR(IF(INDEX($E$2:$E$201,MATCH(H60,$A$2:$A$201,0))="",H60,INDEX($E$2:$E$201,MATCH(H60,$A$2:$A$201,0))),H60)&amp;"/","")&amp;IF(E60="",A60,E60))</f>
        <v/>
      </c>
      <c r="G60" s="10" t="str">
        <f aca="false">IF(A60="","",IF(SUMPRODUCT(--EXACT($A$2:$A$201,A60))&gt;1,"Duplicate ID",IF(SUMPRODUCT(--EXACT('1 Types'!$A$2:$A$201,C60))=0,"Type is not on the Types sheet",IF(AND(D60&lt;&gt;"",NOT(SUMPRODUCT(--EXACT($A$2:$A$201,D60))&gt;0)),"Parent is not an asset",IF(AND(D60="",IFERROR(INDEX('1 Types'!$E$2:$E$201,MATCH(C60,'1 Types'!$A$2:$A$201,0)),"")&lt;&gt;"yes"),"Needs a parent",IF(OR(L60&lt;&gt;"",H60=A60,I60=A60,J60=A60,K60=A60),"Parent loop, or more than five levels","ok"))))))</f>
        <v/>
      </c>
      <c r="H60" s="10" t="str">
        <f aca="false">IF(A60="","",D60)</f>
        <v/>
      </c>
      <c r="I60" s="10" t="str">
        <f aca="false">IF(H60="","",IFERROR(INDEX($D$2:$D$201,MATCH(H60,$A$2:$A$201,0)),""))</f>
        <v/>
      </c>
      <c r="J60" s="10" t="str">
        <f aca="false">IF(I60="","",IFERROR(INDEX($D$2:$D$201,MATCH(I60,$A$2:$A$201,0)),""))</f>
        <v/>
      </c>
      <c r="K60" s="10" t="str">
        <f aca="false">IF(J60="","",IFERROR(INDEX($D$2:$D$201,MATCH(J60,$A$2:$A$201,0)),""))</f>
        <v/>
      </c>
      <c r="L60" s="10" t="str">
        <f aca="false">IF(K60="","",IFERROR(INDEX($D$2:$D$201,MATCH(K60,$A$2:$A$201,0)),""))</f>
        <v/>
      </c>
      <c r="M60" s="10" t="str">
        <f aca="false">IF(A60="","",IF(K60&lt;&gt;"",K60,IF(J60&lt;&gt;"",J60,IF(I60&lt;&gt;"",I60,IF(H60&lt;&gt;"",H60,A60)))))</f>
        <v/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10" t="str">
        <f aca="false">IF(A61="","",IF(K61&lt;&gt;"",IFERROR(IF(INDEX($E$2:$E$201,MATCH(K61,$A$2:$A$201,0))="",K61,INDEX($E$2:$E$201,MATCH(K61,$A$2:$A$201,0))),K61)&amp;"/","")&amp;IF(J61&lt;&gt;"",IFERROR(IF(INDEX($E$2:$E$201,MATCH(J61,$A$2:$A$201,0))="",J61,INDEX($E$2:$E$201,MATCH(J61,$A$2:$A$201,0))),J61)&amp;"/","")&amp;IF(I61&lt;&gt;"",IFERROR(IF(INDEX($E$2:$E$201,MATCH(I61,$A$2:$A$201,0))="",I61,INDEX($E$2:$E$201,MATCH(I61,$A$2:$A$201,0))),I61)&amp;"/","")&amp;IF(H61&lt;&gt;"",IFERROR(IF(INDEX($E$2:$E$201,MATCH(H61,$A$2:$A$201,0))="",H61,INDEX($E$2:$E$201,MATCH(H61,$A$2:$A$201,0))),H61)&amp;"/","")&amp;IF(E61="",A61,E61))</f>
        <v/>
      </c>
      <c r="G61" s="10" t="str">
        <f aca="false">IF(A61="","",IF(SUMPRODUCT(--EXACT($A$2:$A$201,A61))&gt;1,"Duplicate ID",IF(SUMPRODUCT(--EXACT('1 Types'!$A$2:$A$201,C61))=0,"Type is not on the Types sheet",IF(AND(D61&lt;&gt;"",NOT(SUMPRODUCT(--EXACT($A$2:$A$201,D61))&gt;0)),"Parent is not an asset",IF(AND(D61="",IFERROR(INDEX('1 Types'!$E$2:$E$201,MATCH(C61,'1 Types'!$A$2:$A$201,0)),"")&lt;&gt;"yes"),"Needs a parent",IF(OR(L61&lt;&gt;"",H61=A61,I61=A61,J61=A61,K61=A61),"Parent loop, or more than five levels","ok"))))))</f>
        <v/>
      </c>
      <c r="H61" s="10" t="str">
        <f aca="false">IF(A61="","",D61)</f>
        <v/>
      </c>
      <c r="I61" s="10" t="str">
        <f aca="false">IF(H61="","",IFERROR(INDEX($D$2:$D$201,MATCH(H61,$A$2:$A$201,0)),""))</f>
        <v/>
      </c>
      <c r="J61" s="10" t="str">
        <f aca="false">IF(I61="","",IFERROR(INDEX($D$2:$D$201,MATCH(I61,$A$2:$A$201,0)),""))</f>
        <v/>
      </c>
      <c r="K61" s="10" t="str">
        <f aca="false">IF(J61="","",IFERROR(INDEX($D$2:$D$201,MATCH(J61,$A$2:$A$201,0)),""))</f>
        <v/>
      </c>
      <c r="L61" s="10" t="str">
        <f aca="false">IF(K61="","",IFERROR(INDEX($D$2:$D$201,MATCH(K61,$A$2:$A$201,0)),""))</f>
        <v/>
      </c>
      <c r="M61" s="10" t="str">
        <f aca="false">IF(A61="","",IF(K61&lt;&gt;"",K61,IF(J61&lt;&gt;"",J61,IF(I61&lt;&gt;"",I61,IF(H61&lt;&gt;"",H61,A61)))))</f>
        <v/>
      </c>
    </row>
    <row r="62" customFormat="false" ht="15" hidden="false" customHeight="false" outlineLevel="0" collapsed="false">
      <c r="A62" s="9"/>
      <c r="B62" s="9"/>
      <c r="C62" s="9"/>
      <c r="D62" s="9"/>
      <c r="E62" s="9"/>
      <c r="F62" s="10" t="str">
        <f aca="false">IF(A62="","",IF(K62&lt;&gt;"",IFERROR(IF(INDEX($E$2:$E$201,MATCH(K62,$A$2:$A$201,0))="",K62,INDEX($E$2:$E$201,MATCH(K62,$A$2:$A$201,0))),K62)&amp;"/","")&amp;IF(J62&lt;&gt;"",IFERROR(IF(INDEX($E$2:$E$201,MATCH(J62,$A$2:$A$201,0))="",J62,INDEX($E$2:$E$201,MATCH(J62,$A$2:$A$201,0))),J62)&amp;"/","")&amp;IF(I62&lt;&gt;"",IFERROR(IF(INDEX($E$2:$E$201,MATCH(I62,$A$2:$A$201,0))="",I62,INDEX($E$2:$E$201,MATCH(I62,$A$2:$A$201,0))),I62)&amp;"/","")&amp;IF(H62&lt;&gt;"",IFERROR(IF(INDEX($E$2:$E$201,MATCH(H62,$A$2:$A$201,0))="",H62,INDEX($E$2:$E$201,MATCH(H62,$A$2:$A$201,0))),H62)&amp;"/","")&amp;IF(E62="",A62,E62))</f>
        <v/>
      </c>
      <c r="G62" s="10" t="str">
        <f aca="false">IF(A62="","",IF(SUMPRODUCT(--EXACT($A$2:$A$201,A62))&gt;1,"Duplicate ID",IF(SUMPRODUCT(--EXACT('1 Types'!$A$2:$A$201,C62))=0,"Type is not on the Types sheet",IF(AND(D62&lt;&gt;"",NOT(SUMPRODUCT(--EXACT($A$2:$A$201,D62))&gt;0)),"Parent is not an asset",IF(AND(D62="",IFERROR(INDEX('1 Types'!$E$2:$E$201,MATCH(C62,'1 Types'!$A$2:$A$201,0)),"")&lt;&gt;"yes"),"Needs a parent",IF(OR(L62&lt;&gt;"",H62=A62,I62=A62,J62=A62,K62=A62),"Parent loop, or more than five levels","ok"))))))</f>
        <v/>
      </c>
      <c r="H62" s="10" t="str">
        <f aca="false">IF(A62="","",D62)</f>
        <v/>
      </c>
      <c r="I62" s="10" t="str">
        <f aca="false">IF(H62="","",IFERROR(INDEX($D$2:$D$201,MATCH(H62,$A$2:$A$201,0)),""))</f>
        <v/>
      </c>
      <c r="J62" s="10" t="str">
        <f aca="false">IF(I62="","",IFERROR(INDEX($D$2:$D$201,MATCH(I62,$A$2:$A$201,0)),""))</f>
        <v/>
      </c>
      <c r="K62" s="10" t="str">
        <f aca="false">IF(J62="","",IFERROR(INDEX($D$2:$D$201,MATCH(J62,$A$2:$A$201,0)),""))</f>
        <v/>
      </c>
      <c r="L62" s="10" t="str">
        <f aca="false">IF(K62="","",IFERROR(INDEX($D$2:$D$201,MATCH(K62,$A$2:$A$201,0)),""))</f>
        <v/>
      </c>
      <c r="M62" s="10" t="str">
        <f aca="false">IF(A62="","",IF(K62&lt;&gt;"",K62,IF(J62&lt;&gt;"",J62,IF(I62&lt;&gt;"",I62,IF(H62&lt;&gt;"",H62,A62)))))</f>
        <v/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10" t="str">
        <f aca="false">IF(A63="","",IF(K63&lt;&gt;"",IFERROR(IF(INDEX($E$2:$E$201,MATCH(K63,$A$2:$A$201,0))="",K63,INDEX($E$2:$E$201,MATCH(K63,$A$2:$A$201,0))),K63)&amp;"/","")&amp;IF(J63&lt;&gt;"",IFERROR(IF(INDEX($E$2:$E$201,MATCH(J63,$A$2:$A$201,0))="",J63,INDEX($E$2:$E$201,MATCH(J63,$A$2:$A$201,0))),J63)&amp;"/","")&amp;IF(I63&lt;&gt;"",IFERROR(IF(INDEX($E$2:$E$201,MATCH(I63,$A$2:$A$201,0))="",I63,INDEX($E$2:$E$201,MATCH(I63,$A$2:$A$201,0))),I63)&amp;"/","")&amp;IF(H63&lt;&gt;"",IFERROR(IF(INDEX($E$2:$E$201,MATCH(H63,$A$2:$A$201,0))="",H63,INDEX($E$2:$E$201,MATCH(H63,$A$2:$A$201,0))),H63)&amp;"/","")&amp;IF(E63="",A63,E63))</f>
        <v/>
      </c>
      <c r="G63" s="10" t="str">
        <f aca="false">IF(A63="","",IF(SUMPRODUCT(--EXACT($A$2:$A$201,A63))&gt;1,"Duplicate ID",IF(SUMPRODUCT(--EXACT('1 Types'!$A$2:$A$201,C63))=0,"Type is not on the Types sheet",IF(AND(D63&lt;&gt;"",NOT(SUMPRODUCT(--EXACT($A$2:$A$201,D63))&gt;0)),"Parent is not an asset",IF(AND(D63="",IFERROR(INDEX('1 Types'!$E$2:$E$201,MATCH(C63,'1 Types'!$A$2:$A$201,0)),"")&lt;&gt;"yes"),"Needs a parent",IF(OR(L63&lt;&gt;"",H63=A63,I63=A63,J63=A63,K63=A63),"Parent loop, or more than five levels","ok"))))))</f>
        <v/>
      </c>
      <c r="H63" s="10" t="str">
        <f aca="false">IF(A63="","",D63)</f>
        <v/>
      </c>
      <c r="I63" s="10" t="str">
        <f aca="false">IF(H63="","",IFERROR(INDEX($D$2:$D$201,MATCH(H63,$A$2:$A$201,0)),""))</f>
        <v/>
      </c>
      <c r="J63" s="10" t="str">
        <f aca="false">IF(I63="","",IFERROR(INDEX($D$2:$D$201,MATCH(I63,$A$2:$A$201,0)),""))</f>
        <v/>
      </c>
      <c r="K63" s="10" t="str">
        <f aca="false">IF(J63="","",IFERROR(INDEX($D$2:$D$201,MATCH(J63,$A$2:$A$201,0)),""))</f>
        <v/>
      </c>
      <c r="L63" s="10" t="str">
        <f aca="false">IF(K63="","",IFERROR(INDEX($D$2:$D$201,MATCH(K63,$A$2:$A$201,0)),""))</f>
        <v/>
      </c>
      <c r="M63" s="10" t="str">
        <f aca="false">IF(A63="","",IF(K63&lt;&gt;"",K63,IF(J63&lt;&gt;"",J63,IF(I63&lt;&gt;"",I63,IF(H63&lt;&gt;"",H63,A63)))))</f>
        <v/>
      </c>
    </row>
    <row r="64" customFormat="false" ht="15" hidden="false" customHeight="false" outlineLevel="0" collapsed="false">
      <c r="A64" s="9"/>
      <c r="B64" s="9"/>
      <c r="C64" s="9"/>
      <c r="D64" s="9"/>
      <c r="E64" s="9"/>
      <c r="F64" s="10" t="str">
        <f aca="false">IF(A64="","",IF(K64&lt;&gt;"",IFERROR(IF(INDEX($E$2:$E$201,MATCH(K64,$A$2:$A$201,0))="",K64,INDEX($E$2:$E$201,MATCH(K64,$A$2:$A$201,0))),K64)&amp;"/","")&amp;IF(J64&lt;&gt;"",IFERROR(IF(INDEX($E$2:$E$201,MATCH(J64,$A$2:$A$201,0))="",J64,INDEX($E$2:$E$201,MATCH(J64,$A$2:$A$201,0))),J64)&amp;"/","")&amp;IF(I64&lt;&gt;"",IFERROR(IF(INDEX($E$2:$E$201,MATCH(I64,$A$2:$A$201,0))="",I64,INDEX($E$2:$E$201,MATCH(I64,$A$2:$A$201,0))),I64)&amp;"/","")&amp;IF(H64&lt;&gt;"",IFERROR(IF(INDEX($E$2:$E$201,MATCH(H64,$A$2:$A$201,0))="",H64,INDEX($E$2:$E$201,MATCH(H64,$A$2:$A$201,0))),H64)&amp;"/","")&amp;IF(E64="",A64,E64))</f>
        <v/>
      </c>
      <c r="G64" s="10" t="str">
        <f aca="false">IF(A64="","",IF(SUMPRODUCT(--EXACT($A$2:$A$201,A64))&gt;1,"Duplicate ID",IF(SUMPRODUCT(--EXACT('1 Types'!$A$2:$A$201,C64))=0,"Type is not on the Types sheet",IF(AND(D64&lt;&gt;"",NOT(SUMPRODUCT(--EXACT($A$2:$A$201,D64))&gt;0)),"Parent is not an asset",IF(AND(D64="",IFERROR(INDEX('1 Types'!$E$2:$E$201,MATCH(C64,'1 Types'!$A$2:$A$201,0)),"")&lt;&gt;"yes"),"Needs a parent",IF(OR(L64&lt;&gt;"",H64=A64,I64=A64,J64=A64,K64=A64),"Parent loop, or more than five levels","ok"))))))</f>
        <v/>
      </c>
      <c r="H64" s="10" t="str">
        <f aca="false">IF(A64="","",D64)</f>
        <v/>
      </c>
      <c r="I64" s="10" t="str">
        <f aca="false">IF(H64="","",IFERROR(INDEX($D$2:$D$201,MATCH(H64,$A$2:$A$201,0)),""))</f>
        <v/>
      </c>
      <c r="J64" s="10" t="str">
        <f aca="false">IF(I64="","",IFERROR(INDEX($D$2:$D$201,MATCH(I64,$A$2:$A$201,0)),""))</f>
        <v/>
      </c>
      <c r="K64" s="10" t="str">
        <f aca="false">IF(J64="","",IFERROR(INDEX($D$2:$D$201,MATCH(J64,$A$2:$A$201,0)),""))</f>
        <v/>
      </c>
      <c r="L64" s="10" t="str">
        <f aca="false">IF(K64="","",IFERROR(INDEX($D$2:$D$201,MATCH(K64,$A$2:$A$201,0)),""))</f>
        <v/>
      </c>
      <c r="M64" s="10" t="str">
        <f aca="false">IF(A64="","",IF(K64&lt;&gt;"",K64,IF(J64&lt;&gt;"",J64,IF(I64&lt;&gt;"",I64,IF(H64&lt;&gt;"",H64,A64)))))</f>
        <v/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10" t="str">
        <f aca="false">IF(A65="","",IF(K65&lt;&gt;"",IFERROR(IF(INDEX($E$2:$E$201,MATCH(K65,$A$2:$A$201,0))="",K65,INDEX($E$2:$E$201,MATCH(K65,$A$2:$A$201,0))),K65)&amp;"/","")&amp;IF(J65&lt;&gt;"",IFERROR(IF(INDEX($E$2:$E$201,MATCH(J65,$A$2:$A$201,0))="",J65,INDEX($E$2:$E$201,MATCH(J65,$A$2:$A$201,0))),J65)&amp;"/","")&amp;IF(I65&lt;&gt;"",IFERROR(IF(INDEX($E$2:$E$201,MATCH(I65,$A$2:$A$201,0))="",I65,INDEX($E$2:$E$201,MATCH(I65,$A$2:$A$201,0))),I65)&amp;"/","")&amp;IF(H65&lt;&gt;"",IFERROR(IF(INDEX($E$2:$E$201,MATCH(H65,$A$2:$A$201,0))="",H65,INDEX($E$2:$E$201,MATCH(H65,$A$2:$A$201,0))),H65)&amp;"/","")&amp;IF(E65="",A65,E65))</f>
        <v/>
      </c>
      <c r="G65" s="10" t="str">
        <f aca="false">IF(A65="","",IF(SUMPRODUCT(--EXACT($A$2:$A$201,A65))&gt;1,"Duplicate ID",IF(SUMPRODUCT(--EXACT('1 Types'!$A$2:$A$201,C65))=0,"Type is not on the Types sheet",IF(AND(D65&lt;&gt;"",NOT(SUMPRODUCT(--EXACT($A$2:$A$201,D65))&gt;0)),"Parent is not an asset",IF(AND(D65="",IFERROR(INDEX('1 Types'!$E$2:$E$201,MATCH(C65,'1 Types'!$A$2:$A$201,0)),"")&lt;&gt;"yes"),"Needs a parent",IF(OR(L65&lt;&gt;"",H65=A65,I65=A65,J65=A65,K65=A65),"Parent loop, or more than five levels","ok"))))))</f>
        <v/>
      </c>
      <c r="H65" s="10" t="str">
        <f aca="false">IF(A65="","",D65)</f>
        <v/>
      </c>
      <c r="I65" s="10" t="str">
        <f aca="false">IF(H65="","",IFERROR(INDEX($D$2:$D$201,MATCH(H65,$A$2:$A$201,0)),""))</f>
        <v/>
      </c>
      <c r="J65" s="10" t="str">
        <f aca="false">IF(I65="","",IFERROR(INDEX($D$2:$D$201,MATCH(I65,$A$2:$A$201,0)),""))</f>
        <v/>
      </c>
      <c r="K65" s="10" t="str">
        <f aca="false">IF(J65="","",IFERROR(INDEX($D$2:$D$201,MATCH(J65,$A$2:$A$201,0)),""))</f>
        <v/>
      </c>
      <c r="L65" s="10" t="str">
        <f aca="false">IF(K65="","",IFERROR(INDEX($D$2:$D$201,MATCH(K65,$A$2:$A$201,0)),""))</f>
        <v/>
      </c>
      <c r="M65" s="10" t="str">
        <f aca="false">IF(A65="","",IF(K65&lt;&gt;"",K65,IF(J65&lt;&gt;"",J65,IF(I65&lt;&gt;"",I65,IF(H65&lt;&gt;"",H65,A65)))))</f>
        <v/>
      </c>
    </row>
    <row r="66" customFormat="false" ht="15" hidden="false" customHeight="false" outlineLevel="0" collapsed="false">
      <c r="A66" s="9"/>
      <c r="B66" s="9"/>
      <c r="C66" s="9"/>
      <c r="D66" s="9"/>
      <c r="E66" s="9"/>
      <c r="F66" s="10" t="str">
        <f aca="false">IF(A66="","",IF(K66&lt;&gt;"",IFERROR(IF(INDEX($E$2:$E$201,MATCH(K66,$A$2:$A$201,0))="",K66,INDEX($E$2:$E$201,MATCH(K66,$A$2:$A$201,0))),K66)&amp;"/","")&amp;IF(J66&lt;&gt;"",IFERROR(IF(INDEX($E$2:$E$201,MATCH(J66,$A$2:$A$201,0))="",J66,INDEX($E$2:$E$201,MATCH(J66,$A$2:$A$201,0))),J66)&amp;"/","")&amp;IF(I66&lt;&gt;"",IFERROR(IF(INDEX($E$2:$E$201,MATCH(I66,$A$2:$A$201,0))="",I66,INDEX($E$2:$E$201,MATCH(I66,$A$2:$A$201,0))),I66)&amp;"/","")&amp;IF(H66&lt;&gt;"",IFERROR(IF(INDEX($E$2:$E$201,MATCH(H66,$A$2:$A$201,0))="",H66,INDEX($E$2:$E$201,MATCH(H66,$A$2:$A$201,0))),H66)&amp;"/","")&amp;IF(E66="",A66,E66))</f>
        <v/>
      </c>
      <c r="G66" s="10" t="str">
        <f aca="false">IF(A66="","",IF(SUMPRODUCT(--EXACT($A$2:$A$201,A66))&gt;1,"Duplicate ID",IF(SUMPRODUCT(--EXACT('1 Types'!$A$2:$A$201,C66))=0,"Type is not on the Types sheet",IF(AND(D66&lt;&gt;"",NOT(SUMPRODUCT(--EXACT($A$2:$A$201,D66))&gt;0)),"Parent is not an asset",IF(AND(D66="",IFERROR(INDEX('1 Types'!$E$2:$E$201,MATCH(C66,'1 Types'!$A$2:$A$201,0)),"")&lt;&gt;"yes"),"Needs a parent",IF(OR(L66&lt;&gt;"",H66=A66,I66=A66,J66=A66,K66=A66),"Parent loop, or more than five levels","ok"))))))</f>
        <v/>
      </c>
      <c r="H66" s="10" t="str">
        <f aca="false">IF(A66="","",D66)</f>
        <v/>
      </c>
      <c r="I66" s="10" t="str">
        <f aca="false">IF(H66="","",IFERROR(INDEX($D$2:$D$201,MATCH(H66,$A$2:$A$201,0)),""))</f>
        <v/>
      </c>
      <c r="J66" s="10" t="str">
        <f aca="false">IF(I66="","",IFERROR(INDEX($D$2:$D$201,MATCH(I66,$A$2:$A$201,0)),""))</f>
        <v/>
      </c>
      <c r="K66" s="10" t="str">
        <f aca="false">IF(J66="","",IFERROR(INDEX($D$2:$D$201,MATCH(J66,$A$2:$A$201,0)),""))</f>
        <v/>
      </c>
      <c r="L66" s="10" t="str">
        <f aca="false">IF(K66="","",IFERROR(INDEX($D$2:$D$201,MATCH(K66,$A$2:$A$201,0)),""))</f>
        <v/>
      </c>
      <c r="M66" s="10" t="str">
        <f aca="false">IF(A66="","",IF(K66&lt;&gt;"",K66,IF(J66&lt;&gt;"",J66,IF(I66&lt;&gt;"",I66,IF(H66&lt;&gt;"",H66,A66)))))</f>
        <v/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10" t="str">
        <f aca="false">IF(A67="","",IF(K67&lt;&gt;"",IFERROR(IF(INDEX($E$2:$E$201,MATCH(K67,$A$2:$A$201,0))="",K67,INDEX($E$2:$E$201,MATCH(K67,$A$2:$A$201,0))),K67)&amp;"/","")&amp;IF(J67&lt;&gt;"",IFERROR(IF(INDEX($E$2:$E$201,MATCH(J67,$A$2:$A$201,0))="",J67,INDEX($E$2:$E$201,MATCH(J67,$A$2:$A$201,0))),J67)&amp;"/","")&amp;IF(I67&lt;&gt;"",IFERROR(IF(INDEX($E$2:$E$201,MATCH(I67,$A$2:$A$201,0))="",I67,INDEX($E$2:$E$201,MATCH(I67,$A$2:$A$201,0))),I67)&amp;"/","")&amp;IF(H67&lt;&gt;"",IFERROR(IF(INDEX($E$2:$E$201,MATCH(H67,$A$2:$A$201,0))="",H67,INDEX($E$2:$E$201,MATCH(H67,$A$2:$A$201,0))),H67)&amp;"/","")&amp;IF(E67="",A67,E67))</f>
        <v/>
      </c>
      <c r="G67" s="10" t="str">
        <f aca="false">IF(A67="","",IF(SUMPRODUCT(--EXACT($A$2:$A$201,A67))&gt;1,"Duplicate ID",IF(SUMPRODUCT(--EXACT('1 Types'!$A$2:$A$201,C67))=0,"Type is not on the Types sheet",IF(AND(D67&lt;&gt;"",NOT(SUMPRODUCT(--EXACT($A$2:$A$201,D67))&gt;0)),"Parent is not an asset",IF(AND(D67="",IFERROR(INDEX('1 Types'!$E$2:$E$201,MATCH(C67,'1 Types'!$A$2:$A$201,0)),"")&lt;&gt;"yes"),"Needs a parent",IF(OR(L67&lt;&gt;"",H67=A67,I67=A67,J67=A67,K67=A67),"Parent loop, or more than five levels","ok"))))))</f>
        <v/>
      </c>
      <c r="H67" s="10" t="str">
        <f aca="false">IF(A67="","",D67)</f>
        <v/>
      </c>
      <c r="I67" s="10" t="str">
        <f aca="false">IF(H67="","",IFERROR(INDEX($D$2:$D$201,MATCH(H67,$A$2:$A$201,0)),""))</f>
        <v/>
      </c>
      <c r="J67" s="10" t="str">
        <f aca="false">IF(I67="","",IFERROR(INDEX($D$2:$D$201,MATCH(I67,$A$2:$A$201,0)),""))</f>
        <v/>
      </c>
      <c r="K67" s="10" t="str">
        <f aca="false">IF(J67="","",IFERROR(INDEX($D$2:$D$201,MATCH(J67,$A$2:$A$201,0)),""))</f>
        <v/>
      </c>
      <c r="L67" s="10" t="str">
        <f aca="false">IF(K67="","",IFERROR(INDEX($D$2:$D$201,MATCH(K67,$A$2:$A$201,0)),""))</f>
        <v/>
      </c>
      <c r="M67" s="10" t="str">
        <f aca="false">IF(A67="","",IF(K67&lt;&gt;"",K67,IF(J67&lt;&gt;"",J67,IF(I67&lt;&gt;"",I67,IF(H67&lt;&gt;"",H67,A67)))))</f>
        <v/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10" t="str">
        <f aca="false">IF(A68="","",IF(K68&lt;&gt;"",IFERROR(IF(INDEX($E$2:$E$201,MATCH(K68,$A$2:$A$201,0))="",K68,INDEX($E$2:$E$201,MATCH(K68,$A$2:$A$201,0))),K68)&amp;"/","")&amp;IF(J68&lt;&gt;"",IFERROR(IF(INDEX($E$2:$E$201,MATCH(J68,$A$2:$A$201,0))="",J68,INDEX($E$2:$E$201,MATCH(J68,$A$2:$A$201,0))),J68)&amp;"/","")&amp;IF(I68&lt;&gt;"",IFERROR(IF(INDEX($E$2:$E$201,MATCH(I68,$A$2:$A$201,0))="",I68,INDEX($E$2:$E$201,MATCH(I68,$A$2:$A$201,0))),I68)&amp;"/","")&amp;IF(H68&lt;&gt;"",IFERROR(IF(INDEX($E$2:$E$201,MATCH(H68,$A$2:$A$201,0))="",H68,INDEX($E$2:$E$201,MATCH(H68,$A$2:$A$201,0))),H68)&amp;"/","")&amp;IF(E68="",A68,E68))</f>
        <v/>
      </c>
      <c r="G68" s="10" t="str">
        <f aca="false">IF(A68="","",IF(SUMPRODUCT(--EXACT($A$2:$A$201,A68))&gt;1,"Duplicate ID",IF(SUMPRODUCT(--EXACT('1 Types'!$A$2:$A$201,C68))=0,"Type is not on the Types sheet",IF(AND(D68&lt;&gt;"",NOT(SUMPRODUCT(--EXACT($A$2:$A$201,D68))&gt;0)),"Parent is not an asset",IF(AND(D68="",IFERROR(INDEX('1 Types'!$E$2:$E$201,MATCH(C68,'1 Types'!$A$2:$A$201,0)),"")&lt;&gt;"yes"),"Needs a parent",IF(OR(L68&lt;&gt;"",H68=A68,I68=A68,J68=A68,K68=A68),"Parent loop, or more than five levels","ok"))))))</f>
        <v/>
      </c>
      <c r="H68" s="10" t="str">
        <f aca="false">IF(A68="","",D68)</f>
        <v/>
      </c>
      <c r="I68" s="10" t="str">
        <f aca="false">IF(H68="","",IFERROR(INDEX($D$2:$D$201,MATCH(H68,$A$2:$A$201,0)),""))</f>
        <v/>
      </c>
      <c r="J68" s="10" t="str">
        <f aca="false">IF(I68="","",IFERROR(INDEX($D$2:$D$201,MATCH(I68,$A$2:$A$201,0)),""))</f>
        <v/>
      </c>
      <c r="K68" s="10" t="str">
        <f aca="false">IF(J68="","",IFERROR(INDEX($D$2:$D$201,MATCH(J68,$A$2:$A$201,0)),""))</f>
        <v/>
      </c>
      <c r="L68" s="10" t="str">
        <f aca="false">IF(K68="","",IFERROR(INDEX($D$2:$D$201,MATCH(K68,$A$2:$A$201,0)),""))</f>
        <v/>
      </c>
      <c r="M68" s="10" t="str">
        <f aca="false">IF(A68="","",IF(K68&lt;&gt;"",K68,IF(J68&lt;&gt;"",J68,IF(I68&lt;&gt;"",I68,IF(H68&lt;&gt;"",H68,A68)))))</f>
        <v/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10" t="str">
        <f aca="false">IF(A69="","",IF(K69&lt;&gt;"",IFERROR(IF(INDEX($E$2:$E$201,MATCH(K69,$A$2:$A$201,0))="",K69,INDEX($E$2:$E$201,MATCH(K69,$A$2:$A$201,0))),K69)&amp;"/","")&amp;IF(J69&lt;&gt;"",IFERROR(IF(INDEX($E$2:$E$201,MATCH(J69,$A$2:$A$201,0))="",J69,INDEX($E$2:$E$201,MATCH(J69,$A$2:$A$201,0))),J69)&amp;"/","")&amp;IF(I69&lt;&gt;"",IFERROR(IF(INDEX($E$2:$E$201,MATCH(I69,$A$2:$A$201,0))="",I69,INDEX($E$2:$E$201,MATCH(I69,$A$2:$A$201,0))),I69)&amp;"/","")&amp;IF(H69&lt;&gt;"",IFERROR(IF(INDEX($E$2:$E$201,MATCH(H69,$A$2:$A$201,0))="",H69,INDEX($E$2:$E$201,MATCH(H69,$A$2:$A$201,0))),H69)&amp;"/","")&amp;IF(E69="",A69,E69))</f>
        <v/>
      </c>
      <c r="G69" s="10" t="str">
        <f aca="false">IF(A69="","",IF(SUMPRODUCT(--EXACT($A$2:$A$201,A69))&gt;1,"Duplicate ID",IF(SUMPRODUCT(--EXACT('1 Types'!$A$2:$A$201,C69))=0,"Type is not on the Types sheet",IF(AND(D69&lt;&gt;"",NOT(SUMPRODUCT(--EXACT($A$2:$A$201,D69))&gt;0)),"Parent is not an asset",IF(AND(D69="",IFERROR(INDEX('1 Types'!$E$2:$E$201,MATCH(C69,'1 Types'!$A$2:$A$201,0)),"")&lt;&gt;"yes"),"Needs a parent",IF(OR(L69&lt;&gt;"",H69=A69,I69=A69,J69=A69,K69=A69),"Parent loop, or more than five levels","ok"))))))</f>
        <v/>
      </c>
      <c r="H69" s="10" t="str">
        <f aca="false">IF(A69="","",D69)</f>
        <v/>
      </c>
      <c r="I69" s="10" t="str">
        <f aca="false">IF(H69="","",IFERROR(INDEX($D$2:$D$201,MATCH(H69,$A$2:$A$201,0)),""))</f>
        <v/>
      </c>
      <c r="J69" s="10" t="str">
        <f aca="false">IF(I69="","",IFERROR(INDEX($D$2:$D$201,MATCH(I69,$A$2:$A$201,0)),""))</f>
        <v/>
      </c>
      <c r="K69" s="10" t="str">
        <f aca="false">IF(J69="","",IFERROR(INDEX($D$2:$D$201,MATCH(J69,$A$2:$A$201,0)),""))</f>
        <v/>
      </c>
      <c r="L69" s="10" t="str">
        <f aca="false">IF(K69="","",IFERROR(INDEX($D$2:$D$201,MATCH(K69,$A$2:$A$201,0)),""))</f>
        <v/>
      </c>
      <c r="M69" s="10" t="str">
        <f aca="false">IF(A69="","",IF(K69&lt;&gt;"",K69,IF(J69&lt;&gt;"",J69,IF(I69&lt;&gt;"",I69,IF(H69&lt;&gt;"",H69,A69)))))</f>
        <v/>
      </c>
    </row>
    <row r="70" customFormat="false" ht="15" hidden="false" customHeight="false" outlineLevel="0" collapsed="false">
      <c r="A70" s="9"/>
      <c r="B70" s="9"/>
      <c r="C70" s="9"/>
      <c r="D70" s="9"/>
      <c r="E70" s="9"/>
      <c r="F70" s="10" t="str">
        <f aca="false">IF(A70="","",IF(K70&lt;&gt;"",IFERROR(IF(INDEX($E$2:$E$201,MATCH(K70,$A$2:$A$201,0))="",K70,INDEX($E$2:$E$201,MATCH(K70,$A$2:$A$201,0))),K70)&amp;"/","")&amp;IF(J70&lt;&gt;"",IFERROR(IF(INDEX($E$2:$E$201,MATCH(J70,$A$2:$A$201,0))="",J70,INDEX($E$2:$E$201,MATCH(J70,$A$2:$A$201,0))),J70)&amp;"/","")&amp;IF(I70&lt;&gt;"",IFERROR(IF(INDEX($E$2:$E$201,MATCH(I70,$A$2:$A$201,0))="",I70,INDEX($E$2:$E$201,MATCH(I70,$A$2:$A$201,0))),I70)&amp;"/","")&amp;IF(H70&lt;&gt;"",IFERROR(IF(INDEX($E$2:$E$201,MATCH(H70,$A$2:$A$201,0))="",H70,INDEX($E$2:$E$201,MATCH(H70,$A$2:$A$201,0))),H70)&amp;"/","")&amp;IF(E70="",A70,E70))</f>
        <v/>
      </c>
      <c r="G70" s="10" t="str">
        <f aca="false">IF(A70="","",IF(SUMPRODUCT(--EXACT($A$2:$A$201,A70))&gt;1,"Duplicate ID",IF(SUMPRODUCT(--EXACT('1 Types'!$A$2:$A$201,C70))=0,"Type is not on the Types sheet",IF(AND(D70&lt;&gt;"",NOT(SUMPRODUCT(--EXACT($A$2:$A$201,D70))&gt;0)),"Parent is not an asset",IF(AND(D70="",IFERROR(INDEX('1 Types'!$E$2:$E$201,MATCH(C70,'1 Types'!$A$2:$A$201,0)),"")&lt;&gt;"yes"),"Needs a parent",IF(OR(L70&lt;&gt;"",H70=A70,I70=A70,J70=A70,K70=A70),"Parent loop, or more than five levels","ok"))))))</f>
        <v/>
      </c>
      <c r="H70" s="10" t="str">
        <f aca="false">IF(A70="","",D70)</f>
        <v/>
      </c>
      <c r="I70" s="10" t="str">
        <f aca="false">IF(H70="","",IFERROR(INDEX($D$2:$D$201,MATCH(H70,$A$2:$A$201,0)),""))</f>
        <v/>
      </c>
      <c r="J70" s="10" t="str">
        <f aca="false">IF(I70="","",IFERROR(INDEX($D$2:$D$201,MATCH(I70,$A$2:$A$201,0)),""))</f>
        <v/>
      </c>
      <c r="K70" s="10" t="str">
        <f aca="false">IF(J70="","",IFERROR(INDEX($D$2:$D$201,MATCH(J70,$A$2:$A$201,0)),""))</f>
        <v/>
      </c>
      <c r="L70" s="10" t="str">
        <f aca="false">IF(K70="","",IFERROR(INDEX($D$2:$D$201,MATCH(K70,$A$2:$A$201,0)),""))</f>
        <v/>
      </c>
      <c r="M70" s="10" t="str">
        <f aca="false">IF(A70="","",IF(K70&lt;&gt;"",K70,IF(J70&lt;&gt;"",J70,IF(I70&lt;&gt;"",I70,IF(H70&lt;&gt;"",H70,A70)))))</f>
        <v/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10" t="str">
        <f aca="false">IF(A71="","",IF(K71&lt;&gt;"",IFERROR(IF(INDEX($E$2:$E$201,MATCH(K71,$A$2:$A$201,0))="",K71,INDEX($E$2:$E$201,MATCH(K71,$A$2:$A$201,0))),K71)&amp;"/","")&amp;IF(J71&lt;&gt;"",IFERROR(IF(INDEX($E$2:$E$201,MATCH(J71,$A$2:$A$201,0))="",J71,INDEX($E$2:$E$201,MATCH(J71,$A$2:$A$201,0))),J71)&amp;"/","")&amp;IF(I71&lt;&gt;"",IFERROR(IF(INDEX($E$2:$E$201,MATCH(I71,$A$2:$A$201,0))="",I71,INDEX($E$2:$E$201,MATCH(I71,$A$2:$A$201,0))),I71)&amp;"/","")&amp;IF(H71&lt;&gt;"",IFERROR(IF(INDEX($E$2:$E$201,MATCH(H71,$A$2:$A$201,0))="",H71,INDEX($E$2:$E$201,MATCH(H71,$A$2:$A$201,0))),H71)&amp;"/","")&amp;IF(E71="",A71,E71))</f>
        <v/>
      </c>
      <c r="G71" s="10" t="str">
        <f aca="false">IF(A71="","",IF(SUMPRODUCT(--EXACT($A$2:$A$201,A71))&gt;1,"Duplicate ID",IF(SUMPRODUCT(--EXACT('1 Types'!$A$2:$A$201,C71))=0,"Type is not on the Types sheet",IF(AND(D71&lt;&gt;"",NOT(SUMPRODUCT(--EXACT($A$2:$A$201,D71))&gt;0)),"Parent is not an asset",IF(AND(D71="",IFERROR(INDEX('1 Types'!$E$2:$E$201,MATCH(C71,'1 Types'!$A$2:$A$201,0)),"")&lt;&gt;"yes"),"Needs a parent",IF(OR(L71&lt;&gt;"",H71=A71,I71=A71,J71=A71,K71=A71),"Parent loop, or more than five levels","ok"))))))</f>
        <v/>
      </c>
      <c r="H71" s="10" t="str">
        <f aca="false">IF(A71="","",D71)</f>
        <v/>
      </c>
      <c r="I71" s="10" t="str">
        <f aca="false">IF(H71="","",IFERROR(INDEX($D$2:$D$201,MATCH(H71,$A$2:$A$201,0)),""))</f>
        <v/>
      </c>
      <c r="J71" s="10" t="str">
        <f aca="false">IF(I71="","",IFERROR(INDEX($D$2:$D$201,MATCH(I71,$A$2:$A$201,0)),""))</f>
        <v/>
      </c>
      <c r="K71" s="10" t="str">
        <f aca="false">IF(J71="","",IFERROR(INDEX($D$2:$D$201,MATCH(J71,$A$2:$A$201,0)),""))</f>
        <v/>
      </c>
      <c r="L71" s="10" t="str">
        <f aca="false">IF(K71="","",IFERROR(INDEX($D$2:$D$201,MATCH(K71,$A$2:$A$201,0)),""))</f>
        <v/>
      </c>
      <c r="M71" s="10" t="str">
        <f aca="false">IF(A71="","",IF(K71&lt;&gt;"",K71,IF(J71&lt;&gt;"",J71,IF(I71&lt;&gt;"",I71,IF(H71&lt;&gt;"",H71,A71)))))</f>
        <v/>
      </c>
    </row>
    <row r="72" customFormat="false" ht="15" hidden="false" customHeight="false" outlineLevel="0" collapsed="false">
      <c r="A72" s="9"/>
      <c r="B72" s="9"/>
      <c r="C72" s="9"/>
      <c r="D72" s="9"/>
      <c r="E72" s="9"/>
      <c r="F72" s="10" t="str">
        <f aca="false">IF(A72="","",IF(K72&lt;&gt;"",IFERROR(IF(INDEX($E$2:$E$201,MATCH(K72,$A$2:$A$201,0))="",K72,INDEX($E$2:$E$201,MATCH(K72,$A$2:$A$201,0))),K72)&amp;"/","")&amp;IF(J72&lt;&gt;"",IFERROR(IF(INDEX($E$2:$E$201,MATCH(J72,$A$2:$A$201,0))="",J72,INDEX($E$2:$E$201,MATCH(J72,$A$2:$A$201,0))),J72)&amp;"/","")&amp;IF(I72&lt;&gt;"",IFERROR(IF(INDEX($E$2:$E$201,MATCH(I72,$A$2:$A$201,0))="",I72,INDEX($E$2:$E$201,MATCH(I72,$A$2:$A$201,0))),I72)&amp;"/","")&amp;IF(H72&lt;&gt;"",IFERROR(IF(INDEX($E$2:$E$201,MATCH(H72,$A$2:$A$201,0))="",H72,INDEX($E$2:$E$201,MATCH(H72,$A$2:$A$201,0))),H72)&amp;"/","")&amp;IF(E72="",A72,E72))</f>
        <v/>
      </c>
      <c r="G72" s="10" t="str">
        <f aca="false">IF(A72="","",IF(SUMPRODUCT(--EXACT($A$2:$A$201,A72))&gt;1,"Duplicate ID",IF(SUMPRODUCT(--EXACT('1 Types'!$A$2:$A$201,C72))=0,"Type is not on the Types sheet",IF(AND(D72&lt;&gt;"",NOT(SUMPRODUCT(--EXACT($A$2:$A$201,D72))&gt;0)),"Parent is not an asset",IF(AND(D72="",IFERROR(INDEX('1 Types'!$E$2:$E$201,MATCH(C72,'1 Types'!$A$2:$A$201,0)),"")&lt;&gt;"yes"),"Needs a parent",IF(OR(L72&lt;&gt;"",H72=A72,I72=A72,J72=A72,K72=A72),"Parent loop, or more than five levels","ok"))))))</f>
        <v/>
      </c>
      <c r="H72" s="10" t="str">
        <f aca="false">IF(A72="","",D72)</f>
        <v/>
      </c>
      <c r="I72" s="10" t="str">
        <f aca="false">IF(H72="","",IFERROR(INDEX($D$2:$D$201,MATCH(H72,$A$2:$A$201,0)),""))</f>
        <v/>
      </c>
      <c r="J72" s="10" t="str">
        <f aca="false">IF(I72="","",IFERROR(INDEX($D$2:$D$201,MATCH(I72,$A$2:$A$201,0)),""))</f>
        <v/>
      </c>
      <c r="K72" s="10" t="str">
        <f aca="false">IF(J72="","",IFERROR(INDEX($D$2:$D$201,MATCH(J72,$A$2:$A$201,0)),""))</f>
        <v/>
      </c>
      <c r="L72" s="10" t="str">
        <f aca="false">IF(K72="","",IFERROR(INDEX($D$2:$D$201,MATCH(K72,$A$2:$A$201,0)),""))</f>
        <v/>
      </c>
      <c r="M72" s="10" t="str">
        <f aca="false">IF(A72="","",IF(K72&lt;&gt;"",K72,IF(J72&lt;&gt;"",J72,IF(I72&lt;&gt;"",I72,IF(H72&lt;&gt;"",H72,A72)))))</f>
        <v/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10" t="str">
        <f aca="false">IF(A73="","",IF(K73&lt;&gt;"",IFERROR(IF(INDEX($E$2:$E$201,MATCH(K73,$A$2:$A$201,0))="",K73,INDEX($E$2:$E$201,MATCH(K73,$A$2:$A$201,0))),K73)&amp;"/","")&amp;IF(J73&lt;&gt;"",IFERROR(IF(INDEX($E$2:$E$201,MATCH(J73,$A$2:$A$201,0))="",J73,INDEX($E$2:$E$201,MATCH(J73,$A$2:$A$201,0))),J73)&amp;"/","")&amp;IF(I73&lt;&gt;"",IFERROR(IF(INDEX($E$2:$E$201,MATCH(I73,$A$2:$A$201,0))="",I73,INDEX($E$2:$E$201,MATCH(I73,$A$2:$A$201,0))),I73)&amp;"/","")&amp;IF(H73&lt;&gt;"",IFERROR(IF(INDEX($E$2:$E$201,MATCH(H73,$A$2:$A$201,0))="",H73,INDEX($E$2:$E$201,MATCH(H73,$A$2:$A$201,0))),H73)&amp;"/","")&amp;IF(E73="",A73,E73))</f>
        <v/>
      </c>
      <c r="G73" s="10" t="str">
        <f aca="false">IF(A73="","",IF(SUMPRODUCT(--EXACT($A$2:$A$201,A73))&gt;1,"Duplicate ID",IF(SUMPRODUCT(--EXACT('1 Types'!$A$2:$A$201,C73))=0,"Type is not on the Types sheet",IF(AND(D73&lt;&gt;"",NOT(SUMPRODUCT(--EXACT($A$2:$A$201,D73))&gt;0)),"Parent is not an asset",IF(AND(D73="",IFERROR(INDEX('1 Types'!$E$2:$E$201,MATCH(C73,'1 Types'!$A$2:$A$201,0)),"")&lt;&gt;"yes"),"Needs a parent",IF(OR(L73&lt;&gt;"",H73=A73,I73=A73,J73=A73,K73=A73),"Parent loop, or more than five levels","ok"))))))</f>
        <v/>
      </c>
      <c r="H73" s="10" t="str">
        <f aca="false">IF(A73="","",D73)</f>
        <v/>
      </c>
      <c r="I73" s="10" t="str">
        <f aca="false">IF(H73="","",IFERROR(INDEX($D$2:$D$201,MATCH(H73,$A$2:$A$201,0)),""))</f>
        <v/>
      </c>
      <c r="J73" s="10" t="str">
        <f aca="false">IF(I73="","",IFERROR(INDEX($D$2:$D$201,MATCH(I73,$A$2:$A$201,0)),""))</f>
        <v/>
      </c>
      <c r="K73" s="10" t="str">
        <f aca="false">IF(J73="","",IFERROR(INDEX($D$2:$D$201,MATCH(J73,$A$2:$A$201,0)),""))</f>
        <v/>
      </c>
      <c r="L73" s="10" t="str">
        <f aca="false">IF(K73="","",IFERROR(INDEX($D$2:$D$201,MATCH(K73,$A$2:$A$201,0)),""))</f>
        <v/>
      </c>
      <c r="M73" s="10" t="str">
        <f aca="false">IF(A73="","",IF(K73&lt;&gt;"",K73,IF(J73&lt;&gt;"",J73,IF(I73&lt;&gt;"",I73,IF(H73&lt;&gt;"",H73,A73)))))</f>
        <v/>
      </c>
    </row>
    <row r="74" customFormat="false" ht="15" hidden="false" customHeight="false" outlineLevel="0" collapsed="false">
      <c r="A74" s="9"/>
      <c r="B74" s="9"/>
      <c r="C74" s="9"/>
      <c r="D74" s="9"/>
      <c r="E74" s="9"/>
      <c r="F74" s="10" t="str">
        <f aca="false">IF(A74="","",IF(K74&lt;&gt;"",IFERROR(IF(INDEX($E$2:$E$201,MATCH(K74,$A$2:$A$201,0))="",K74,INDEX($E$2:$E$201,MATCH(K74,$A$2:$A$201,0))),K74)&amp;"/","")&amp;IF(J74&lt;&gt;"",IFERROR(IF(INDEX($E$2:$E$201,MATCH(J74,$A$2:$A$201,0))="",J74,INDEX($E$2:$E$201,MATCH(J74,$A$2:$A$201,0))),J74)&amp;"/","")&amp;IF(I74&lt;&gt;"",IFERROR(IF(INDEX($E$2:$E$201,MATCH(I74,$A$2:$A$201,0))="",I74,INDEX($E$2:$E$201,MATCH(I74,$A$2:$A$201,0))),I74)&amp;"/","")&amp;IF(H74&lt;&gt;"",IFERROR(IF(INDEX($E$2:$E$201,MATCH(H74,$A$2:$A$201,0))="",H74,INDEX($E$2:$E$201,MATCH(H74,$A$2:$A$201,0))),H74)&amp;"/","")&amp;IF(E74="",A74,E74))</f>
        <v/>
      </c>
      <c r="G74" s="10" t="str">
        <f aca="false">IF(A74="","",IF(SUMPRODUCT(--EXACT($A$2:$A$201,A74))&gt;1,"Duplicate ID",IF(SUMPRODUCT(--EXACT('1 Types'!$A$2:$A$201,C74))=0,"Type is not on the Types sheet",IF(AND(D74&lt;&gt;"",NOT(SUMPRODUCT(--EXACT($A$2:$A$201,D74))&gt;0)),"Parent is not an asset",IF(AND(D74="",IFERROR(INDEX('1 Types'!$E$2:$E$201,MATCH(C74,'1 Types'!$A$2:$A$201,0)),"")&lt;&gt;"yes"),"Needs a parent",IF(OR(L74&lt;&gt;"",H74=A74,I74=A74,J74=A74,K74=A74),"Parent loop, or more than five levels","ok"))))))</f>
        <v/>
      </c>
      <c r="H74" s="10" t="str">
        <f aca="false">IF(A74="","",D74)</f>
        <v/>
      </c>
      <c r="I74" s="10" t="str">
        <f aca="false">IF(H74="","",IFERROR(INDEX($D$2:$D$201,MATCH(H74,$A$2:$A$201,0)),""))</f>
        <v/>
      </c>
      <c r="J74" s="10" t="str">
        <f aca="false">IF(I74="","",IFERROR(INDEX($D$2:$D$201,MATCH(I74,$A$2:$A$201,0)),""))</f>
        <v/>
      </c>
      <c r="K74" s="10" t="str">
        <f aca="false">IF(J74="","",IFERROR(INDEX($D$2:$D$201,MATCH(J74,$A$2:$A$201,0)),""))</f>
        <v/>
      </c>
      <c r="L74" s="10" t="str">
        <f aca="false">IF(K74="","",IFERROR(INDEX($D$2:$D$201,MATCH(K74,$A$2:$A$201,0)),""))</f>
        <v/>
      </c>
      <c r="M74" s="10" t="str">
        <f aca="false">IF(A74="","",IF(K74&lt;&gt;"",K74,IF(J74&lt;&gt;"",J74,IF(I74&lt;&gt;"",I74,IF(H74&lt;&gt;"",H74,A74)))))</f>
        <v/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10" t="str">
        <f aca="false">IF(A75="","",IF(K75&lt;&gt;"",IFERROR(IF(INDEX($E$2:$E$201,MATCH(K75,$A$2:$A$201,0))="",K75,INDEX($E$2:$E$201,MATCH(K75,$A$2:$A$201,0))),K75)&amp;"/","")&amp;IF(J75&lt;&gt;"",IFERROR(IF(INDEX($E$2:$E$201,MATCH(J75,$A$2:$A$201,0))="",J75,INDEX($E$2:$E$201,MATCH(J75,$A$2:$A$201,0))),J75)&amp;"/","")&amp;IF(I75&lt;&gt;"",IFERROR(IF(INDEX($E$2:$E$201,MATCH(I75,$A$2:$A$201,0))="",I75,INDEX($E$2:$E$201,MATCH(I75,$A$2:$A$201,0))),I75)&amp;"/","")&amp;IF(H75&lt;&gt;"",IFERROR(IF(INDEX($E$2:$E$201,MATCH(H75,$A$2:$A$201,0))="",H75,INDEX($E$2:$E$201,MATCH(H75,$A$2:$A$201,0))),H75)&amp;"/","")&amp;IF(E75="",A75,E75))</f>
        <v/>
      </c>
      <c r="G75" s="10" t="str">
        <f aca="false">IF(A75="","",IF(SUMPRODUCT(--EXACT($A$2:$A$201,A75))&gt;1,"Duplicate ID",IF(SUMPRODUCT(--EXACT('1 Types'!$A$2:$A$201,C75))=0,"Type is not on the Types sheet",IF(AND(D75&lt;&gt;"",NOT(SUMPRODUCT(--EXACT($A$2:$A$201,D75))&gt;0)),"Parent is not an asset",IF(AND(D75="",IFERROR(INDEX('1 Types'!$E$2:$E$201,MATCH(C75,'1 Types'!$A$2:$A$201,0)),"")&lt;&gt;"yes"),"Needs a parent",IF(OR(L75&lt;&gt;"",H75=A75,I75=A75,J75=A75,K75=A75),"Parent loop, or more than five levels","ok"))))))</f>
        <v/>
      </c>
      <c r="H75" s="10" t="str">
        <f aca="false">IF(A75="","",D75)</f>
        <v/>
      </c>
      <c r="I75" s="10" t="str">
        <f aca="false">IF(H75="","",IFERROR(INDEX($D$2:$D$201,MATCH(H75,$A$2:$A$201,0)),""))</f>
        <v/>
      </c>
      <c r="J75" s="10" t="str">
        <f aca="false">IF(I75="","",IFERROR(INDEX($D$2:$D$201,MATCH(I75,$A$2:$A$201,0)),""))</f>
        <v/>
      </c>
      <c r="K75" s="10" t="str">
        <f aca="false">IF(J75="","",IFERROR(INDEX($D$2:$D$201,MATCH(J75,$A$2:$A$201,0)),""))</f>
        <v/>
      </c>
      <c r="L75" s="10" t="str">
        <f aca="false">IF(K75="","",IFERROR(INDEX($D$2:$D$201,MATCH(K75,$A$2:$A$201,0)),""))</f>
        <v/>
      </c>
      <c r="M75" s="10" t="str">
        <f aca="false">IF(A75="","",IF(K75&lt;&gt;"",K75,IF(J75&lt;&gt;"",J75,IF(I75&lt;&gt;"",I75,IF(H75&lt;&gt;"",H75,A75)))))</f>
        <v/>
      </c>
    </row>
    <row r="76" customFormat="false" ht="15" hidden="false" customHeight="false" outlineLevel="0" collapsed="false">
      <c r="A76" s="9"/>
      <c r="B76" s="9"/>
      <c r="C76" s="9"/>
      <c r="D76" s="9"/>
      <c r="E76" s="9"/>
      <c r="F76" s="10" t="str">
        <f aca="false">IF(A76="","",IF(K76&lt;&gt;"",IFERROR(IF(INDEX($E$2:$E$201,MATCH(K76,$A$2:$A$201,0))="",K76,INDEX($E$2:$E$201,MATCH(K76,$A$2:$A$201,0))),K76)&amp;"/","")&amp;IF(J76&lt;&gt;"",IFERROR(IF(INDEX($E$2:$E$201,MATCH(J76,$A$2:$A$201,0))="",J76,INDEX($E$2:$E$201,MATCH(J76,$A$2:$A$201,0))),J76)&amp;"/","")&amp;IF(I76&lt;&gt;"",IFERROR(IF(INDEX($E$2:$E$201,MATCH(I76,$A$2:$A$201,0))="",I76,INDEX($E$2:$E$201,MATCH(I76,$A$2:$A$201,0))),I76)&amp;"/","")&amp;IF(H76&lt;&gt;"",IFERROR(IF(INDEX($E$2:$E$201,MATCH(H76,$A$2:$A$201,0))="",H76,INDEX($E$2:$E$201,MATCH(H76,$A$2:$A$201,0))),H76)&amp;"/","")&amp;IF(E76="",A76,E76))</f>
        <v/>
      </c>
      <c r="G76" s="10" t="str">
        <f aca="false">IF(A76="","",IF(SUMPRODUCT(--EXACT($A$2:$A$201,A76))&gt;1,"Duplicate ID",IF(SUMPRODUCT(--EXACT('1 Types'!$A$2:$A$201,C76))=0,"Type is not on the Types sheet",IF(AND(D76&lt;&gt;"",NOT(SUMPRODUCT(--EXACT($A$2:$A$201,D76))&gt;0)),"Parent is not an asset",IF(AND(D76="",IFERROR(INDEX('1 Types'!$E$2:$E$201,MATCH(C76,'1 Types'!$A$2:$A$201,0)),"")&lt;&gt;"yes"),"Needs a parent",IF(OR(L76&lt;&gt;"",H76=A76,I76=A76,J76=A76,K76=A76),"Parent loop, or more than five levels","ok"))))))</f>
        <v/>
      </c>
      <c r="H76" s="10" t="str">
        <f aca="false">IF(A76="","",D76)</f>
        <v/>
      </c>
      <c r="I76" s="10" t="str">
        <f aca="false">IF(H76="","",IFERROR(INDEX($D$2:$D$201,MATCH(H76,$A$2:$A$201,0)),""))</f>
        <v/>
      </c>
      <c r="J76" s="10" t="str">
        <f aca="false">IF(I76="","",IFERROR(INDEX($D$2:$D$201,MATCH(I76,$A$2:$A$201,0)),""))</f>
        <v/>
      </c>
      <c r="K76" s="10" t="str">
        <f aca="false">IF(J76="","",IFERROR(INDEX($D$2:$D$201,MATCH(J76,$A$2:$A$201,0)),""))</f>
        <v/>
      </c>
      <c r="L76" s="10" t="str">
        <f aca="false">IF(K76="","",IFERROR(INDEX($D$2:$D$201,MATCH(K76,$A$2:$A$201,0)),""))</f>
        <v/>
      </c>
      <c r="M76" s="10" t="str">
        <f aca="false">IF(A76="","",IF(K76&lt;&gt;"",K76,IF(J76&lt;&gt;"",J76,IF(I76&lt;&gt;"",I76,IF(H76&lt;&gt;"",H76,A76)))))</f>
        <v/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10" t="str">
        <f aca="false">IF(A77="","",IF(K77&lt;&gt;"",IFERROR(IF(INDEX($E$2:$E$201,MATCH(K77,$A$2:$A$201,0))="",K77,INDEX($E$2:$E$201,MATCH(K77,$A$2:$A$201,0))),K77)&amp;"/","")&amp;IF(J77&lt;&gt;"",IFERROR(IF(INDEX($E$2:$E$201,MATCH(J77,$A$2:$A$201,0))="",J77,INDEX($E$2:$E$201,MATCH(J77,$A$2:$A$201,0))),J77)&amp;"/","")&amp;IF(I77&lt;&gt;"",IFERROR(IF(INDEX($E$2:$E$201,MATCH(I77,$A$2:$A$201,0))="",I77,INDEX($E$2:$E$201,MATCH(I77,$A$2:$A$201,0))),I77)&amp;"/","")&amp;IF(H77&lt;&gt;"",IFERROR(IF(INDEX($E$2:$E$201,MATCH(H77,$A$2:$A$201,0))="",H77,INDEX($E$2:$E$201,MATCH(H77,$A$2:$A$201,0))),H77)&amp;"/","")&amp;IF(E77="",A77,E77))</f>
        <v/>
      </c>
      <c r="G77" s="10" t="str">
        <f aca="false">IF(A77="","",IF(SUMPRODUCT(--EXACT($A$2:$A$201,A77))&gt;1,"Duplicate ID",IF(SUMPRODUCT(--EXACT('1 Types'!$A$2:$A$201,C77))=0,"Type is not on the Types sheet",IF(AND(D77&lt;&gt;"",NOT(SUMPRODUCT(--EXACT($A$2:$A$201,D77))&gt;0)),"Parent is not an asset",IF(AND(D77="",IFERROR(INDEX('1 Types'!$E$2:$E$201,MATCH(C77,'1 Types'!$A$2:$A$201,0)),"")&lt;&gt;"yes"),"Needs a parent",IF(OR(L77&lt;&gt;"",H77=A77,I77=A77,J77=A77,K77=A77),"Parent loop, or more than five levels","ok"))))))</f>
        <v/>
      </c>
      <c r="H77" s="10" t="str">
        <f aca="false">IF(A77="","",D77)</f>
        <v/>
      </c>
      <c r="I77" s="10" t="str">
        <f aca="false">IF(H77="","",IFERROR(INDEX($D$2:$D$201,MATCH(H77,$A$2:$A$201,0)),""))</f>
        <v/>
      </c>
      <c r="J77" s="10" t="str">
        <f aca="false">IF(I77="","",IFERROR(INDEX($D$2:$D$201,MATCH(I77,$A$2:$A$201,0)),""))</f>
        <v/>
      </c>
      <c r="K77" s="10" t="str">
        <f aca="false">IF(J77="","",IFERROR(INDEX($D$2:$D$201,MATCH(J77,$A$2:$A$201,0)),""))</f>
        <v/>
      </c>
      <c r="L77" s="10" t="str">
        <f aca="false">IF(K77="","",IFERROR(INDEX($D$2:$D$201,MATCH(K77,$A$2:$A$201,0)),""))</f>
        <v/>
      </c>
      <c r="M77" s="10" t="str">
        <f aca="false">IF(A77="","",IF(K77&lt;&gt;"",K77,IF(J77&lt;&gt;"",J77,IF(I77&lt;&gt;"",I77,IF(H77&lt;&gt;"",H77,A77)))))</f>
        <v/>
      </c>
    </row>
    <row r="78" customFormat="false" ht="15" hidden="false" customHeight="false" outlineLevel="0" collapsed="false">
      <c r="A78" s="9"/>
      <c r="B78" s="9"/>
      <c r="C78" s="9"/>
      <c r="D78" s="9"/>
      <c r="E78" s="9"/>
      <c r="F78" s="10" t="str">
        <f aca="false">IF(A78="","",IF(K78&lt;&gt;"",IFERROR(IF(INDEX($E$2:$E$201,MATCH(K78,$A$2:$A$201,0))="",K78,INDEX($E$2:$E$201,MATCH(K78,$A$2:$A$201,0))),K78)&amp;"/","")&amp;IF(J78&lt;&gt;"",IFERROR(IF(INDEX($E$2:$E$201,MATCH(J78,$A$2:$A$201,0))="",J78,INDEX($E$2:$E$201,MATCH(J78,$A$2:$A$201,0))),J78)&amp;"/","")&amp;IF(I78&lt;&gt;"",IFERROR(IF(INDEX($E$2:$E$201,MATCH(I78,$A$2:$A$201,0))="",I78,INDEX($E$2:$E$201,MATCH(I78,$A$2:$A$201,0))),I78)&amp;"/","")&amp;IF(H78&lt;&gt;"",IFERROR(IF(INDEX($E$2:$E$201,MATCH(H78,$A$2:$A$201,0))="",H78,INDEX($E$2:$E$201,MATCH(H78,$A$2:$A$201,0))),H78)&amp;"/","")&amp;IF(E78="",A78,E78))</f>
        <v/>
      </c>
      <c r="G78" s="10" t="str">
        <f aca="false">IF(A78="","",IF(SUMPRODUCT(--EXACT($A$2:$A$201,A78))&gt;1,"Duplicate ID",IF(SUMPRODUCT(--EXACT('1 Types'!$A$2:$A$201,C78))=0,"Type is not on the Types sheet",IF(AND(D78&lt;&gt;"",NOT(SUMPRODUCT(--EXACT($A$2:$A$201,D78))&gt;0)),"Parent is not an asset",IF(AND(D78="",IFERROR(INDEX('1 Types'!$E$2:$E$201,MATCH(C78,'1 Types'!$A$2:$A$201,0)),"")&lt;&gt;"yes"),"Needs a parent",IF(OR(L78&lt;&gt;"",H78=A78,I78=A78,J78=A78,K78=A78),"Parent loop, or more than five levels","ok"))))))</f>
        <v/>
      </c>
      <c r="H78" s="10" t="str">
        <f aca="false">IF(A78="","",D78)</f>
        <v/>
      </c>
      <c r="I78" s="10" t="str">
        <f aca="false">IF(H78="","",IFERROR(INDEX($D$2:$D$201,MATCH(H78,$A$2:$A$201,0)),""))</f>
        <v/>
      </c>
      <c r="J78" s="10" t="str">
        <f aca="false">IF(I78="","",IFERROR(INDEX($D$2:$D$201,MATCH(I78,$A$2:$A$201,0)),""))</f>
        <v/>
      </c>
      <c r="K78" s="10" t="str">
        <f aca="false">IF(J78="","",IFERROR(INDEX($D$2:$D$201,MATCH(J78,$A$2:$A$201,0)),""))</f>
        <v/>
      </c>
      <c r="L78" s="10" t="str">
        <f aca="false">IF(K78="","",IFERROR(INDEX($D$2:$D$201,MATCH(K78,$A$2:$A$201,0)),""))</f>
        <v/>
      </c>
      <c r="M78" s="10" t="str">
        <f aca="false">IF(A78="","",IF(K78&lt;&gt;"",K78,IF(J78&lt;&gt;"",J78,IF(I78&lt;&gt;"",I78,IF(H78&lt;&gt;"",H78,A78)))))</f>
        <v/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10" t="str">
        <f aca="false">IF(A79="","",IF(K79&lt;&gt;"",IFERROR(IF(INDEX($E$2:$E$201,MATCH(K79,$A$2:$A$201,0))="",K79,INDEX($E$2:$E$201,MATCH(K79,$A$2:$A$201,0))),K79)&amp;"/","")&amp;IF(J79&lt;&gt;"",IFERROR(IF(INDEX($E$2:$E$201,MATCH(J79,$A$2:$A$201,0))="",J79,INDEX($E$2:$E$201,MATCH(J79,$A$2:$A$201,0))),J79)&amp;"/","")&amp;IF(I79&lt;&gt;"",IFERROR(IF(INDEX($E$2:$E$201,MATCH(I79,$A$2:$A$201,0))="",I79,INDEX($E$2:$E$201,MATCH(I79,$A$2:$A$201,0))),I79)&amp;"/","")&amp;IF(H79&lt;&gt;"",IFERROR(IF(INDEX($E$2:$E$201,MATCH(H79,$A$2:$A$201,0))="",H79,INDEX($E$2:$E$201,MATCH(H79,$A$2:$A$201,0))),H79)&amp;"/","")&amp;IF(E79="",A79,E79))</f>
        <v/>
      </c>
      <c r="G79" s="10" t="str">
        <f aca="false">IF(A79="","",IF(SUMPRODUCT(--EXACT($A$2:$A$201,A79))&gt;1,"Duplicate ID",IF(SUMPRODUCT(--EXACT('1 Types'!$A$2:$A$201,C79))=0,"Type is not on the Types sheet",IF(AND(D79&lt;&gt;"",NOT(SUMPRODUCT(--EXACT($A$2:$A$201,D79))&gt;0)),"Parent is not an asset",IF(AND(D79="",IFERROR(INDEX('1 Types'!$E$2:$E$201,MATCH(C79,'1 Types'!$A$2:$A$201,0)),"")&lt;&gt;"yes"),"Needs a parent",IF(OR(L79&lt;&gt;"",H79=A79,I79=A79,J79=A79,K79=A79),"Parent loop, or more than five levels","ok"))))))</f>
        <v/>
      </c>
      <c r="H79" s="10" t="str">
        <f aca="false">IF(A79="","",D79)</f>
        <v/>
      </c>
      <c r="I79" s="10" t="str">
        <f aca="false">IF(H79="","",IFERROR(INDEX($D$2:$D$201,MATCH(H79,$A$2:$A$201,0)),""))</f>
        <v/>
      </c>
      <c r="J79" s="10" t="str">
        <f aca="false">IF(I79="","",IFERROR(INDEX($D$2:$D$201,MATCH(I79,$A$2:$A$201,0)),""))</f>
        <v/>
      </c>
      <c r="K79" s="10" t="str">
        <f aca="false">IF(J79="","",IFERROR(INDEX($D$2:$D$201,MATCH(J79,$A$2:$A$201,0)),""))</f>
        <v/>
      </c>
      <c r="L79" s="10" t="str">
        <f aca="false">IF(K79="","",IFERROR(INDEX($D$2:$D$201,MATCH(K79,$A$2:$A$201,0)),""))</f>
        <v/>
      </c>
      <c r="M79" s="10" t="str">
        <f aca="false">IF(A79="","",IF(K79&lt;&gt;"",K79,IF(J79&lt;&gt;"",J79,IF(I79&lt;&gt;"",I79,IF(H79&lt;&gt;"",H79,A79)))))</f>
        <v/>
      </c>
    </row>
    <row r="80" customFormat="false" ht="15" hidden="false" customHeight="false" outlineLevel="0" collapsed="false">
      <c r="A80" s="9"/>
      <c r="B80" s="9"/>
      <c r="C80" s="9"/>
      <c r="D80" s="9"/>
      <c r="E80" s="9"/>
      <c r="F80" s="10" t="str">
        <f aca="false">IF(A80="","",IF(K80&lt;&gt;"",IFERROR(IF(INDEX($E$2:$E$201,MATCH(K80,$A$2:$A$201,0))="",K80,INDEX($E$2:$E$201,MATCH(K80,$A$2:$A$201,0))),K80)&amp;"/","")&amp;IF(J80&lt;&gt;"",IFERROR(IF(INDEX($E$2:$E$201,MATCH(J80,$A$2:$A$201,0))="",J80,INDEX($E$2:$E$201,MATCH(J80,$A$2:$A$201,0))),J80)&amp;"/","")&amp;IF(I80&lt;&gt;"",IFERROR(IF(INDEX($E$2:$E$201,MATCH(I80,$A$2:$A$201,0))="",I80,INDEX($E$2:$E$201,MATCH(I80,$A$2:$A$201,0))),I80)&amp;"/","")&amp;IF(H80&lt;&gt;"",IFERROR(IF(INDEX($E$2:$E$201,MATCH(H80,$A$2:$A$201,0))="",H80,INDEX($E$2:$E$201,MATCH(H80,$A$2:$A$201,0))),H80)&amp;"/","")&amp;IF(E80="",A80,E80))</f>
        <v/>
      </c>
      <c r="G80" s="10" t="str">
        <f aca="false">IF(A80="","",IF(SUMPRODUCT(--EXACT($A$2:$A$201,A80))&gt;1,"Duplicate ID",IF(SUMPRODUCT(--EXACT('1 Types'!$A$2:$A$201,C80))=0,"Type is not on the Types sheet",IF(AND(D80&lt;&gt;"",NOT(SUMPRODUCT(--EXACT($A$2:$A$201,D80))&gt;0)),"Parent is not an asset",IF(AND(D80="",IFERROR(INDEX('1 Types'!$E$2:$E$201,MATCH(C80,'1 Types'!$A$2:$A$201,0)),"")&lt;&gt;"yes"),"Needs a parent",IF(OR(L80&lt;&gt;"",H80=A80,I80=A80,J80=A80,K80=A80),"Parent loop, or more than five levels","ok"))))))</f>
        <v/>
      </c>
      <c r="H80" s="10" t="str">
        <f aca="false">IF(A80="","",D80)</f>
        <v/>
      </c>
      <c r="I80" s="10" t="str">
        <f aca="false">IF(H80="","",IFERROR(INDEX($D$2:$D$201,MATCH(H80,$A$2:$A$201,0)),""))</f>
        <v/>
      </c>
      <c r="J80" s="10" t="str">
        <f aca="false">IF(I80="","",IFERROR(INDEX($D$2:$D$201,MATCH(I80,$A$2:$A$201,0)),""))</f>
        <v/>
      </c>
      <c r="K80" s="10" t="str">
        <f aca="false">IF(J80="","",IFERROR(INDEX($D$2:$D$201,MATCH(J80,$A$2:$A$201,0)),""))</f>
        <v/>
      </c>
      <c r="L80" s="10" t="str">
        <f aca="false">IF(K80="","",IFERROR(INDEX($D$2:$D$201,MATCH(K80,$A$2:$A$201,0)),""))</f>
        <v/>
      </c>
      <c r="M80" s="10" t="str">
        <f aca="false">IF(A80="","",IF(K80&lt;&gt;"",K80,IF(J80&lt;&gt;"",J80,IF(I80&lt;&gt;"",I80,IF(H80&lt;&gt;"",H80,A80)))))</f>
        <v/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10" t="str">
        <f aca="false">IF(A81="","",IF(K81&lt;&gt;"",IFERROR(IF(INDEX($E$2:$E$201,MATCH(K81,$A$2:$A$201,0))="",K81,INDEX($E$2:$E$201,MATCH(K81,$A$2:$A$201,0))),K81)&amp;"/","")&amp;IF(J81&lt;&gt;"",IFERROR(IF(INDEX($E$2:$E$201,MATCH(J81,$A$2:$A$201,0))="",J81,INDEX($E$2:$E$201,MATCH(J81,$A$2:$A$201,0))),J81)&amp;"/","")&amp;IF(I81&lt;&gt;"",IFERROR(IF(INDEX($E$2:$E$201,MATCH(I81,$A$2:$A$201,0))="",I81,INDEX($E$2:$E$201,MATCH(I81,$A$2:$A$201,0))),I81)&amp;"/","")&amp;IF(H81&lt;&gt;"",IFERROR(IF(INDEX($E$2:$E$201,MATCH(H81,$A$2:$A$201,0))="",H81,INDEX($E$2:$E$201,MATCH(H81,$A$2:$A$201,0))),H81)&amp;"/","")&amp;IF(E81="",A81,E81))</f>
        <v/>
      </c>
      <c r="G81" s="10" t="str">
        <f aca="false">IF(A81="","",IF(SUMPRODUCT(--EXACT($A$2:$A$201,A81))&gt;1,"Duplicate ID",IF(SUMPRODUCT(--EXACT('1 Types'!$A$2:$A$201,C81))=0,"Type is not on the Types sheet",IF(AND(D81&lt;&gt;"",NOT(SUMPRODUCT(--EXACT($A$2:$A$201,D81))&gt;0)),"Parent is not an asset",IF(AND(D81="",IFERROR(INDEX('1 Types'!$E$2:$E$201,MATCH(C81,'1 Types'!$A$2:$A$201,0)),"")&lt;&gt;"yes"),"Needs a parent",IF(OR(L81&lt;&gt;"",H81=A81,I81=A81,J81=A81,K81=A81),"Parent loop, or more than five levels","ok"))))))</f>
        <v/>
      </c>
      <c r="H81" s="10" t="str">
        <f aca="false">IF(A81="","",D81)</f>
        <v/>
      </c>
      <c r="I81" s="10" t="str">
        <f aca="false">IF(H81="","",IFERROR(INDEX($D$2:$D$201,MATCH(H81,$A$2:$A$201,0)),""))</f>
        <v/>
      </c>
      <c r="J81" s="10" t="str">
        <f aca="false">IF(I81="","",IFERROR(INDEX($D$2:$D$201,MATCH(I81,$A$2:$A$201,0)),""))</f>
        <v/>
      </c>
      <c r="K81" s="10" t="str">
        <f aca="false">IF(J81="","",IFERROR(INDEX($D$2:$D$201,MATCH(J81,$A$2:$A$201,0)),""))</f>
        <v/>
      </c>
      <c r="L81" s="10" t="str">
        <f aca="false">IF(K81="","",IFERROR(INDEX($D$2:$D$201,MATCH(K81,$A$2:$A$201,0)),""))</f>
        <v/>
      </c>
      <c r="M81" s="10" t="str">
        <f aca="false">IF(A81="","",IF(K81&lt;&gt;"",K81,IF(J81&lt;&gt;"",J81,IF(I81&lt;&gt;"",I81,IF(H81&lt;&gt;"",H81,A81)))))</f>
        <v/>
      </c>
    </row>
    <row r="82" customFormat="false" ht="15" hidden="false" customHeight="false" outlineLevel="0" collapsed="false">
      <c r="A82" s="9"/>
      <c r="B82" s="9"/>
      <c r="C82" s="9"/>
      <c r="D82" s="9"/>
      <c r="E82" s="9"/>
      <c r="F82" s="10" t="str">
        <f aca="false">IF(A82="","",IF(K82&lt;&gt;"",IFERROR(IF(INDEX($E$2:$E$201,MATCH(K82,$A$2:$A$201,0))="",K82,INDEX($E$2:$E$201,MATCH(K82,$A$2:$A$201,0))),K82)&amp;"/","")&amp;IF(J82&lt;&gt;"",IFERROR(IF(INDEX($E$2:$E$201,MATCH(J82,$A$2:$A$201,0))="",J82,INDEX($E$2:$E$201,MATCH(J82,$A$2:$A$201,0))),J82)&amp;"/","")&amp;IF(I82&lt;&gt;"",IFERROR(IF(INDEX($E$2:$E$201,MATCH(I82,$A$2:$A$201,0))="",I82,INDEX($E$2:$E$201,MATCH(I82,$A$2:$A$201,0))),I82)&amp;"/","")&amp;IF(H82&lt;&gt;"",IFERROR(IF(INDEX($E$2:$E$201,MATCH(H82,$A$2:$A$201,0))="",H82,INDEX($E$2:$E$201,MATCH(H82,$A$2:$A$201,0))),H82)&amp;"/","")&amp;IF(E82="",A82,E82))</f>
        <v/>
      </c>
      <c r="G82" s="10" t="str">
        <f aca="false">IF(A82="","",IF(SUMPRODUCT(--EXACT($A$2:$A$201,A82))&gt;1,"Duplicate ID",IF(SUMPRODUCT(--EXACT('1 Types'!$A$2:$A$201,C82))=0,"Type is not on the Types sheet",IF(AND(D82&lt;&gt;"",NOT(SUMPRODUCT(--EXACT($A$2:$A$201,D82))&gt;0)),"Parent is not an asset",IF(AND(D82="",IFERROR(INDEX('1 Types'!$E$2:$E$201,MATCH(C82,'1 Types'!$A$2:$A$201,0)),"")&lt;&gt;"yes"),"Needs a parent",IF(OR(L82&lt;&gt;"",H82=A82,I82=A82,J82=A82,K82=A82),"Parent loop, or more than five levels","ok"))))))</f>
        <v/>
      </c>
      <c r="H82" s="10" t="str">
        <f aca="false">IF(A82="","",D82)</f>
        <v/>
      </c>
      <c r="I82" s="10" t="str">
        <f aca="false">IF(H82="","",IFERROR(INDEX($D$2:$D$201,MATCH(H82,$A$2:$A$201,0)),""))</f>
        <v/>
      </c>
      <c r="J82" s="10" t="str">
        <f aca="false">IF(I82="","",IFERROR(INDEX($D$2:$D$201,MATCH(I82,$A$2:$A$201,0)),""))</f>
        <v/>
      </c>
      <c r="K82" s="10" t="str">
        <f aca="false">IF(J82="","",IFERROR(INDEX($D$2:$D$201,MATCH(J82,$A$2:$A$201,0)),""))</f>
        <v/>
      </c>
      <c r="L82" s="10" t="str">
        <f aca="false">IF(K82="","",IFERROR(INDEX($D$2:$D$201,MATCH(K82,$A$2:$A$201,0)),""))</f>
        <v/>
      </c>
      <c r="M82" s="10" t="str">
        <f aca="false">IF(A82="","",IF(K82&lt;&gt;"",K82,IF(J82&lt;&gt;"",J82,IF(I82&lt;&gt;"",I82,IF(H82&lt;&gt;"",H82,A82)))))</f>
        <v/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10" t="str">
        <f aca="false">IF(A83="","",IF(K83&lt;&gt;"",IFERROR(IF(INDEX($E$2:$E$201,MATCH(K83,$A$2:$A$201,0))="",K83,INDEX($E$2:$E$201,MATCH(K83,$A$2:$A$201,0))),K83)&amp;"/","")&amp;IF(J83&lt;&gt;"",IFERROR(IF(INDEX($E$2:$E$201,MATCH(J83,$A$2:$A$201,0))="",J83,INDEX($E$2:$E$201,MATCH(J83,$A$2:$A$201,0))),J83)&amp;"/","")&amp;IF(I83&lt;&gt;"",IFERROR(IF(INDEX($E$2:$E$201,MATCH(I83,$A$2:$A$201,0))="",I83,INDEX($E$2:$E$201,MATCH(I83,$A$2:$A$201,0))),I83)&amp;"/","")&amp;IF(H83&lt;&gt;"",IFERROR(IF(INDEX($E$2:$E$201,MATCH(H83,$A$2:$A$201,0))="",H83,INDEX($E$2:$E$201,MATCH(H83,$A$2:$A$201,0))),H83)&amp;"/","")&amp;IF(E83="",A83,E83))</f>
        <v/>
      </c>
      <c r="G83" s="10" t="str">
        <f aca="false">IF(A83="","",IF(SUMPRODUCT(--EXACT($A$2:$A$201,A83))&gt;1,"Duplicate ID",IF(SUMPRODUCT(--EXACT('1 Types'!$A$2:$A$201,C83))=0,"Type is not on the Types sheet",IF(AND(D83&lt;&gt;"",NOT(SUMPRODUCT(--EXACT($A$2:$A$201,D83))&gt;0)),"Parent is not an asset",IF(AND(D83="",IFERROR(INDEX('1 Types'!$E$2:$E$201,MATCH(C83,'1 Types'!$A$2:$A$201,0)),"")&lt;&gt;"yes"),"Needs a parent",IF(OR(L83&lt;&gt;"",H83=A83,I83=A83,J83=A83,K83=A83),"Parent loop, or more than five levels","ok"))))))</f>
        <v/>
      </c>
      <c r="H83" s="10" t="str">
        <f aca="false">IF(A83="","",D83)</f>
        <v/>
      </c>
      <c r="I83" s="10" t="str">
        <f aca="false">IF(H83="","",IFERROR(INDEX($D$2:$D$201,MATCH(H83,$A$2:$A$201,0)),""))</f>
        <v/>
      </c>
      <c r="J83" s="10" t="str">
        <f aca="false">IF(I83="","",IFERROR(INDEX($D$2:$D$201,MATCH(I83,$A$2:$A$201,0)),""))</f>
        <v/>
      </c>
      <c r="K83" s="10" t="str">
        <f aca="false">IF(J83="","",IFERROR(INDEX($D$2:$D$201,MATCH(J83,$A$2:$A$201,0)),""))</f>
        <v/>
      </c>
      <c r="L83" s="10" t="str">
        <f aca="false">IF(K83="","",IFERROR(INDEX($D$2:$D$201,MATCH(K83,$A$2:$A$201,0)),""))</f>
        <v/>
      </c>
      <c r="M83" s="10" t="str">
        <f aca="false">IF(A83="","",IF(K83&lt;&gt;"",K83,IF(J83&lt;&gt;"",J83,IF(I83&lt;&gt;"",I83,IF(H83&lt;&gt;"",H83,A83)))))</f>
        <v/>
      </c>
    </row>
    <row r="84" customFormat="false" ht="15" hidden="false" customHeight="false" outlineLevel="0" collapsed="false">
      <c r="A84" s="9"/>
      <c r="B84" s="9"/>
      <c r="C84" s="9"/>
      <c r="D84" s="9"/>
      <c r="E84" s="9"/>
      <c r="F84" s="10" t="str">
        <f aca="false">IF(A84="","",IF(K84&lt;&gt;"",IFERROR(IF(INDEX($E$2:$E$201,MATCH(K84,$A$2:$A$201,0))="",K84,INDEX($E$2:$E$201,MATCH(K84,$A$2:$A$201,0))),K84)&amp;"/","")&amp;IF(J84&lt;&gt;"",IFERROR(IF(INDEX($E$2:$E$201,MATCH(J84,$A$2:$A$201,0))="",J84,INDEX($E$2:$E$201,MATCH(J84,$A$2:$A$201,0))),J84)&amp;"/","")&amp;IF(I84&lt;&gt;"",IFERROR(IF(INDEX($E$2:$E$201,MATCH(I84,$A$2:$A$201,0))="",I84,INDEX($E$2:$E$201,MATCH(I84,$A$2:$A$201,0))),I84)&amp;"/","")&amp;IF(H84&lt;&gt;"",IFERROR(IF(INDEX($E$2:$E$201,MATCH(H84,$A$2:$A$201,0))="",H84,INDEX($E$2:$E$201,MATCH(H84,$A$2:$A$201,0))),H84)&amp;"/","")&amp;IF(E84="",A84,E84))</f>
        <v/>
      </c>
      <c r="G84" s="10" t="str">
        <f aca="false">IF(A84="","",IF(SUMPRODUCT(--EXACT($A$2:$A$201,A84))&gt;1,"Duplicate ID",IF(SUMPRODUCT(--EXACT('1 Types'!$A$2:$A$201,C84))=0,"Type is not on the Types sheet",IF(AND(D84&lt;&gt;"",NOT(SUMPRODUCT(--EXACT($A$2:$A$201,D84))&gt;0)),"Parent is not an asset",IF(AND(D84="",IFERROR(INDEX('1 Types'!$E$2:$E$201,MATCH(C84,'1 Types'!$A$2:$A$201,0)),"")&lt;&gt;"yes"),"Needs a parent",IF(OR(L84&lt;&gt;"",H84=A84,I84=A84,J84=A84,K84=A84),"Parent loop, or more than five levels","ok"))))))</f>
        <v/>
      </c>
      <c r="H84" s="10" t="str">
        <f aca="false">IF(A84="","",D84)</f>
        <v/>
      </c>
      <c r="I84" s="10" t="str">
        <f aca="false">IF(H84="","",IFERROR(INDEX($D$2:$D$201,MATCH(H84,$A$2:$A$201,0)),""))</f>
        <v/>
      </c>
      <c r="J84" s="10" t="str">
        <f aca="false">IF(I84="","",IFERROR(INDEX($D$2:$D$201,MATCH(I84,$A$2:$A$201,0)),""))</f>
        <v/>
      </c>
      <c r="K84" s="10" t="str">
        <f aca="false">IF(J84="","",IFERROR(INDEX($D$2:$D$201,MATCH(J84,$A$2:$A$201,0)),""))</f>
        <v/>
      </c>
      <c r="L84" s="10" t="str">
        <f aca="false">IF(K84="","",IFERROR(INDEX($D$2:$D$201,MATCH(K84,$A$2:$A$201,0)),""))</f>
        <v/>
      </c>
      <c r="M84" s="10" t="str">
        <f aca="false">IF(A84="","",IF(K84&lt;&gt;"",K84,IF(J84&lt;&gt;"",J84,IF(I84&lt;&gt;"",I84,IF(H84&lt;&gt;"",H84,A84)))))</f>
        <v/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10" t="str">
        <f aca="false">IF(A85="","",IF(K85&lt;&gt;"",IFERROR(IF(INDEX($E$2:$E$201,MATCH(K85,$A$2:$A$201,0))="",K85,INDEX($E$2:$E$201,MATCH(K85,$A$2:$A$201,0))),K85)&amp;"/","")&amp;IF(J85&lt;&gt;"",IFERROR(IF(INDEX($E$2:$E$201,MATCH(J85,$A$2:$A$201,0))="",J85,INDEX($E$2:$E$201,MATCH(J85,$A$2:$A$201,0))),J85)&amp;"/","")&amp;IF(I85&lt;&gt;"",IFERROR(IF(INDEX($E$2:$E$201,MATCH(I85,$A$2:$A$201,0))="",I85,INDEX($E$2:$E$201,MATCH(I85,$A$2:$A$201,0))),I85)&amp;"/","")&amp;IF(H85&lt;&gt;"",IFERROR(IF(INDEX($E$2:$E$201,MATCH(H85,$A$2:$A$201,0))="",H85,INDEX($E$2:$E$201,MATCH(H85,$A$2:$A$201,0))),H85)&amp;"/","")&amp;IF(E85="",A85,E85))</f>
        <v/>
      </c>
      <c r="G85" s="10" t="str">
        <f aca="false">IF(A85="","",IF(SUMPRODUCT(--EXACT($A$2:$A$201,A85))&gt;1,"Duplicate ID",IF(SUMPRODUCT(--EXACT('1 Types'!$A$2:$A$201,C85))=0,"Type is not on the Types sheet",IF(AND(D85&lt;&gt;"",NOT(SUMPRODUCT(--EXACT($A$2:$A$201,D85))&gt;0)),"Parent is not an asset",IF(AND(D85="",IFERROR(INDEX('1 Types'!$E$2:$E$201,MATCH(C85,'1 Types'!$A$2:$A$201,0)),"")&lt;&gt;"yes"),"Needs a parent",IF(OR(L85&lt;&gt;"",H85=A85,I85=A85,J85=A85,K85=A85),"Parent loop, or more than five levels","ok"))))))</f>
        <v/>
      </c>
      <c r="H85" s="10" t="str">
        <f aca="false">IF(A85="","",D85)</f>
        <v/>
      </c>
      <c r="I85" s="10" t="str">
        <f aca="false">IF(H85="","",IFERROR(INDEX($D$2:$D$201,MATCH(H85,$A$2:$A$201,0)),""))</f>
        <v/>
      </c>
      <c r="J85" s="10" t="str">
        <f aca="false">IF(I85="","",IFERROR(INDEX($D$2:$D$201,MATCH(I85,$A$2:$A$201,0)),""))</f>
        <v/>
      </c>
      <c r="K85" s="10" t="str">
        <f aca="false">IF(J85="","",IFERROR(INDEX($D$2:$D$201,MATCH(J85,$A$2:$A$201,0)),""))</f>
        <v/>
      </c>
      <c r="L85" s="10" t="str">
        <f aca="false">IF(K85="","",IFERROR(INDEX($D$2:$D$201,MATCH(K85,$A$2:$A$201,0)),""))</f>
        <v/>
      </c>
      <c r="M85" s="10" t="str">
        <f aca="false">IF(A85="","",IF(K85&lt;&gt;"",K85,IF(J85&lt;&gt;"",J85,IF(I85&lt;&gt;"",I85,IF(H85&lt;&gt;"",H85,A85)))))</f>
        <v/>
      </c>
    </row>
    <row r="86" customFormat="false" ht="15" hidden="false" customHeight="false" outlineLevel="0" collapsed="false">
      <c r="A86" s="9"/>
      <c r="B86" s="9"/>
      <c r="C86" s="9"/>
      <c r="D86" s="9"/>
      <c r="E86" s="9"/>
      <c r="F86" s="10" t="str">
        <f aca="false">IF(A86="","",IF(K86&lt;&gt;"",IFERROR(IF(INDEX($E$2:$E$201,MATCH(K86,$A$2:$A$201,0))="",K86,INDEX($E$2:$E$201,MATCH(K86,$A$2:$A$201,0))),K86)&amp;"/","")&amp;IF(J86&lt;&gt;"",IFERROR(IF(INDEX($E$2:$E$201,MATCH(J86,$A$2:$A$201,0))="",J86,INDEX($E$2:$E$201,MATCH(J86,$A$2:$A$201,0))),J86)&amp;"/","")&amp;IF(I86&lt;&gt;"",IFERROR(IF(INDEX($E$2:$E$201,MATCH(I86,$A$2:$A$201,0))="",I86,INDEX($E$2:$E$201,MATCH(I86,$A$2:$A$201,0))),I86)&amp;"/","")&amp;IF(H86&lt;&gt;"",IFERROR(IF(INDEX($E$2:$E$201,MATCH(H86,$A$2:$A$201,0))="",H86,INDEX($E$2:$E$201,MATCH(H86,$A$2:$A$201,0))),H86)&amp;"/","")&amp;IF(E86="",A86,E86))</f>
        <v/>
      </c>
      <c r="G86" s="10" t="str">
        <f aca="false">IF(A86="","",IF(SUMPRODUCT(--EXACT($A$2:$A$201,A86))&gt;1,"Duplicate ID",IF(SUMPRODUCT(--EXACT('1 Types'!$A$2:$A$201,C86))=0,"Type is not on the Types sheet",IF(AND(D86&lt;&gt;"",NOT(SUMPRODUCT(--EXACT($A$2:$A$201,D86))&gt;0)),"Parent is not an asset",IF(AND(D86="",IFERROR(INDEX('1 Types'!$E$2:$E$201,MATCH(C86,'1 Types'!$A$2:$A$201,0)),"")&lt;&gt;"yes"),"Needs a parent",IF(OR(L86&lt;&gt;"",H86=A86,I86=A86,J86=A86,K86=A86),"Parent loop, or more than five levels","ok"))))))</f>
        <v/>
      </c>
      <c r="H86" s="10" t="str">
        <f aca="false">IF(A86="","",D86)</f>
        <v/>
      </c>
      <c r="I86" s="10" t="str">
        <f aca="false">IF(H86="","",IFERROR(INDEX($D$2:$D$201,MATCH(H86,$A$2:$A$201,0)),""))</f>
        <v/>
      </c>
      <c r="J86" s="10" t="str">
        <f aca="false">IF(I86="","",IFERROR(INDEX($D$2:$D$201,MATCH(I86,$A$2:$A$201,0)),""))</f>
        <v/>
      </c>
      <c r="K86" s="10" t="str">
        <f aca="false">IF(J86="","",IFERROR(INDEX($D$2:$D$201,MATCH(J86,$A$2:$A$201,0)),""))</f>
        <v/>
      </c>
      <c r="L86" s="10" t="str">
        <f aca="false">IF(K86="","",IFERROR(INDEX($D$2:$D$201,MATCH(K86,$A$2:$A$201,0)),""))</f>
        <v/>
      </c>
      <c r="M86" s="10" t="str">
        <f aca="false">IF(A86="","",IF(K86&lt;&gt;"",K86,IF(J86&lt;&gt;"",J86,IF(I86&lt;&gt;"",I86,IF(H86&lt;&gt;"",H86,A86)))))</f>
        <v/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10" t="str">
        <f aca="false">IF(A87="","",IF(K87&lt;&gt;"",IFERROR(IF(INDEX($E$2:$E$201,MATCH(K87,$A$2:$A$201,0))="",K87,INDEX($E$2:$E$201,MATCH(K87,$A$2:$A$201,0))),K87)&amp;"/","")&amp;IF(J87&lt;&gt;"",IFERROR(IF(INDEX($E$2:$E$201,MATCH(J87,$A$2:$A$201,0))="",J87,INDEX($E$2:$E$201,MATCH(J87,$A$2:$A$201,0))),J87)&amp;"/","")&amp;IF(I87&lt;&gt;"",IFERROR(IF(INDEX($E$2:$E$201,MATCH(I87,$A$2:$A$201,0))="",I87,INDEX($E$2:$E$201,MATCH(I87,$A$2:$A$201,0))),I87)&amp;"/","")&amp;IF(H87&lt;&gt;"",IFERROR(IF(INDEX($E$2:$E$201,MATCH(H87,$A$2:$A$201,0))="",H87,INDEX($E$2:$E$201,MATCH(H87,$A$2:$A$201,0))),H87)&amp;"/","")&amp;IF(E87="",A87,E87))</f>
        <v/>
      </c>
      <c r="G87" s="10" t="str">
        <f aca="false">IF(A87="","",IF(SUMPRODUCT(--EXACT($A$2:$A$201,A87))&gt;1,"Duplicate ID",IF(SUMPRODUCT(--EXACT('1 Types'!$A$2:$A$201,C87))=0,"Type is not on the Types sheet",IF(AND(D87&lt;&gt;"",NOT(SUMPRODUCT(--EXACT($A$2:$A$201,D87))&gt;0)),"Parent is not an asset",IF(AND(D87="",IFERROR(INDEX('1 Types'!$E$2:$E$201,MATCH(C87,'1 Types'!$A$2:$A$201,0)),"")&lt;&gt;"yes"),"Needs a parent",IF(OR(L87&lt;&gt;"",H87=A87,I87=A87,J87=A87,K87=A87),"Parent loop, or more than five levels","ok"))))))</f>
        <v/>
      </c>
      <c r="H87" s="10" t="str">
        <f aca="false">IF(A87="","",D87)</f>
        <v/>
      </c>
      <c r="I87" s="10" t="str">
        <f aca="false">IF(H87="","",IFERROR(INDEX($D$2:$D$201,MATCH(H87,$A$2:$A$201,0)),""))</f>
        <v/>
      </c>
      <c r="J87" s="10" t="str">
        <f aca="false">IF(I87="","",IFERROR(INDEX($D$2:$D$201,MATCH(I87,$A$2:$A$201,0)),""))</f>
        <v/>
      </c>
      <c r="K87" s="10" t="str">
        <f aca="false">IF(J87="","",IFERROR(INDEX($D$2:$D$201,MATCH(J87,$A$2:$A$201,0)),""))</f>
        <v/>
      </c>
      <c r="L87" s="10" t="str">
        <f aca="false">IF(K87="","",IFERROR(INDEX($D$2:$D$201,MATCH(K87,$A$2:$A$201,0)),""))</f>
        <v/>
      </c>
      <c r="M87" s="10" t="str">
        <f aca="false">IF(A87="","",IF(K87&lt;&gt;"",K87,IF(J87&lt;&gt;"",J87,IF(I87&lt;&gt;"",I87,IF(H87&lt;&gt;"",H87,A87)))))</f>
        <v/>
      </c>
    </row>
    <row r="88" customFormat="false" ht="15" hidden="false" customHeight="false" outlineLevel="0" collapsed="false">
      <c r="A88" s="9"/>
      <c r="B88" s="9"/>
      <c r="C88" s="9"/>
      <c r="D88" s="9"/>
      <c r="E88" s="9"/>
      <c r="F88" s="10" t="str">
        <f aca="false">IF(A88="","",IF(K88&lt;&gt;"",IFERROR(IF(INDEX($E$2:$E$201,MATCH(K88,$A$2:$A$201,0))="",K88,INDEX($E$2:$E$201,MATCH(K88,$A$2:$A$201,0))),K88)&amp;"/","")&amp;IF(J88&lt;&gt;"",IFERROR(IF(INDEX($E$2:$E$201,MATCH(J88,$A$2:$A$201,0))="",J88,INDEX($E$2:$E$201,MATCH(J88,$A$2:$A$201,0))),J88)&amp;"/","")&amp;IF(I88&lt;&gt;"",IFERROR(IF(INDEX($E$2:$E$201,MATCH(I88,$A$2:$A$201,0))="",I88,INDEX($E$2:$E$201,MATCH(I88,$A$2:$A$201,0))),I88)&amp;"/","")&amp;IF(H88&lt;&gt;"",IFERROR(IF(INDEX($E$2:$E$201,MATCH(H88,$A$2:$A$201,0))="",H88,INDEX($E$2:$E$201,MATCH(H88,$A$2:$A$201,0))),H88)&amp;"/","")&amp;IF(E88="",A88,E88))</f>
        <v/>
      </c>
      <c r="G88" s="10" t="str">
        <f aca="false">IF(A88="","",IF(SUMPRODUCT(--EXACT($A$2:$A$201,A88))&gt;1,"Duplicate ID",IF(SUMPRODUCT(--EXACT('1 Types'!$A$2:$A$201,C88))=0,"Type is not on the Types sheet",IF(AND(D88&lt;&gt;"",NOT(SUMPRODUCT(--EXACT($A$2:$A$201,D88))&gt;0)),"Parent is not an asset",IF(AND(D88="",IFERROR(INDEX('1 Types'!$E$2:$E$201,MATCH(C88,'1 Types'!$A$2:$A$201,0)),"")&lt;&gt;"yes"),"Needs a parent",IF(OR(L88&lt;&gt;"",H88=A88,I88=A88,J88=A88,K88=A88),"Parent loop, or more than five levels","ok"))))))</f>
        <v/>
      </c>
      <c r="H88" s="10" t="str">
        <f aca="false">IF(A88="","",D88)</f>
        <v/>
      </c>
      <c r="I88" s="10" t="str">
        <f aca="false">IF(H88="","",IFERROR(INDEX($D$2:$D$201,MATCH(H88,$A$2:$A$201,0)),""))</f>
        <v/>
      </c>
      <c r="J88" s="10" t="str">
        <f aca="false">IF(I88="","",IFERROR(INDEX($D$2:$D$201,MATCH(I88,$A$2:$A$201,0)),""))</f>
        <v/>
      </c>
      <c r="K88" s="10" t="str">
        <f aca="false">IF(J88="","",IFERROR(INDEX($D$2:$D$201,MATCH(J88,$A$2:$A$201,0)),""))</f>
        <v/>
      </c>
      <c r="L88" s="10" t="str">
        <f aca="false">IF(K88="","",IFERROR(INDEX($D$2:$D$201,MATCH(K88,$A$2:$A$201,0)),""))</f>
        <v/>
      </c>
      <c r="M88" s="10" t="str">
        <f aca="false">IF(A88="","",IF(K88&lt;&gt;"",K88,IF(J88&lt;&gt;"",J88,IF(I88&lt;&gt;"",I88,IF(H88&lt;&gt;"",H88,A88)))))</f>
        <v/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10" t="str">
        <f aca="false">IF(A89="","",IF(K89&lt;&gt;"",IFERROR(IF(INDEX($E$2:$E$201,MATCH(K89,$A$2:$A$201,0))="",K89,INDEX($E$2:$E$201,MATCH(K89,$A$2:$A$201,0))),K89)&amp;"/","")&amp;IF(J89&lt;&gt;"",IFERROR(IF(INDEX($E$2:$E$201,MATCH(J89,$A$2:$A$201,0))="",J89,INDEX($E$2:$E$201,MATCH(J89,$A$2:$A$201,0))),J89)&amp;"/","")&amp;IF(I89&lt;&gt;"",IFERROR(IF(INDEX($E$2:$E$201,MATCH(I89,$A$2:$A$201,0))="",I89,INDEX($E$2:$E$201,MATCH(I89,$A$2:$A$201,0))),I89)&amp;"/","")&amp;IF(H89&lt;&gt;"",IFERROR(IF(INDEX($E$2:$E$201,MATCH(H89,$A$2:$A$201,0))="",H89,INDEX($E$2:$E$201,MATCH(H89,$A$2:$A$201,0))),H89)&amp;"/","")&amp;IF(E89="",A89,E89))</f>
        <v/>
      </c>
      <c r="G89" s="10" t="str">
        <f aca="false">IF(A89="","",IF(SUMPRODUCT(--EXACT($A$2:$A$201,A89))&gt;1,"Duplicate ID",IF(SUMPRODUCT(--EXACT('1 Types'!$A$2:$A$201,C89))=0,"Type is not on the Types sheet",IF(AND(D89&lt;&gt;"",NOT(SUMPRODUCT(--EXACT($A$2:$A$201,D89))&gt;0)),"Parent is not an asset",IF(AND(D89="",IFERROR(INDEX('1 Types'!$E$2:$E$201,MATCH(C89,'1 Types'!$A$2:$A$201,0)),"")&lt;&gt;"yes"),"Needs a parent",IF(OR(L89&lt;&gt;"",H89=A89,I89=A89,J89=A89,K89=A89),"Parent loop, or more than five levels","ok"))))))</f>
        <v/>
      </c>
      <c r="H89" s="10" t="str">
        <f aca="false">IF(A89="","",D89)</f>
        <v/>
      </c>
      <c r="I89" s="10" t="str">
        <f aca="false">IF(H89="","",IFERROR(INDEX($D$2:$D$201,MATCH(H89,$A$2:$A$201,0)),""))</f>
        <v/>
      </c>
      <c r="J89" s="10" t="str">
        <f aca="false">IF(I89="","",IFERROR(INDEX($D$2:$D$201,MATCH(I89,$A$2:$A$201,0)),""))</f>
        <v/>
      </c>
      <c r="K89" s="10" t="str">
        <f aca="false">IF(J89="","",IFERROR(INDEX($D$2:$D$201,MATCH(J89,$A$2:$A$201,0)),""))</f>
        <v/>
      </c>
      <c r="L89" s="10" t="str">
        <f aca="false">IF(K89="","",IFERROR(INDEX($D$2:$D$201,MATCH(K89,$A$2:$A$201,0)),""))</f>
        <v/>
      </c>
      <c r="M89" s="10" t="str">
        <f aca="false">IF(A89="","",IF(K89&lt;&gt;"",K89,IF(J89&lt;&gt;"",J89,IF(I89&lt;&gt;"",I89,IF(H89&lt;&gt;"",H89,A89)))))</f>
        <v/>
      </c>
    </row>
    <row r="90" customFormat="false" ht="15" hidden="false" customHeight="false" outlineLevel="0" collapsed="false">
      <c r="A90" s="9"/>
      <c r="B90" s="9"/>
      <c r="C90" s="9"/>
      <c r="D90" s="9"/>
      <c r="E90" s="9"/>
      <c r="F90" s="10" t="str">
        <f aca="false">IF(A90="","",IF(K90&lt;&gt;"",IFERROR(IF(INDEX($E$2:$E$201,MATCH(K90,$A$2:$A$201,0))="",K90,INDEX($E$2:$E$201,MATCH(K90,$A$2:$A$201,0))),K90)&amp;"/","")&amp;IF(J90&lt;&gt;"",IFERROR(IF(INDEX($E$2:$E$201,MATCH(J90,$A$2:$A$201,0))="",J90,INDEX($E$2:$E$201,MATCH(J90,$A$2:$A$201,0))),J90)&amp;"/","")&amp;IF(I90&lt;&gt;"",IFERROR(IF(INDEX($E$2:$E$201,MATCH(I90,$A$2:$A$201,0))="",I90,INDEX($E$2:$E$201,MATCH(I90,$A$2:$A$201,0))),I90)&amp;"/","")&amp;IF(H90&lt;&gt;"",IFERROR(IF(INDEX($E$2:$E$201,MATCH(H90,$A$2:$A$201,0))="",H90,INDEX($E$2:$E$201,MATCH(H90,$A$2:$A$201,0))),H90)&amp;"/","")&amp;IF(E90="",A90,E90))</f>
        <v/>
      </c>
      <c r="G90" s="10" t="str">
        <f aca="false">IF(A90="","",IF(SUMPRODUCT(--EXACT($A$2:$A$201,A90))&gt;1,"Duplicate ID",IF(SUMPRODUCT(--EXACT('1 Types'!$A$2:$A$201,C90))=0,"Type is not on the Types sheet",IF(AND(D90&lt;&gt;"",NOT(SUMPRODUCT(--EXACT($A$2:$A$201,D90))&gt;0)),"Parent is not an asset",IF(AND(D90="",IFERROR(INDEX('1 Types'!$E$2:$E$201,MATCH(C90,'1 Types'!$A$2:$A$201,0)),"")&lt;&gt;"yes"),"Needs a parent",IF(OR(L90&lt;&gt;"",H90=A90,I90=A90,J90=A90,K90=A90),"Parent loop, or more than five levels","ok"))))))</f>
        <v/>
      </c>
      <c r="H90" s="10" t="str">
        <f aca="false">IF(A90="","",D90)</f>
        <v/>
      </c>
      <c r="I90" s="10" t="str">
        <f aca="false">IF(H90="","",IFERROR(INDEX($D$2:$D$201,MATCH(H90,$A$2:$A$201,0)),""))</f>
        <v/>
      </c>
      <c r="J90" s="10" t="str">
        <f aca="false">IF(I90="","",IFERROR(INDEX($D$2:$D$201,MATCH(I90,$A$2:$A$201,0)),""))</f>
        <v/>
      </c>
      <c r="K90" s="10" t="str">
        <f aca="false">IF(J90="","",IFERROR(INDEX($D$2:$D$201,MATCH(J90,$A$2:$A$201,0)),""))</f>
        <v/>
      </c>
      <c r="L90" s="10" t="str">
        <f aca="false">IF(K90="","",IFERROR(INDEX($D$2:$D$201,MATCH(K90,$A$2:$A$201,0)),""))</f>
        <v/>
      </c>
      <c r="M90" s="10" t="str">
        <f aca="false">IF(A90="","",IF(K90&lt;&gt;"",K90,IF(J90&lt;&gt;"",J90,IF(I90&lt;&gt;"",I90,IF(H90&lt;&gt;"",H90,A90)))))</f>
        <v/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10" t="str">
        <f aca="false">IF(A91="","",IF(K91&lt;&gt;"",IFERROR(IF(INDEX($E$2:$E$201,MATCH(K91,$A$2:$A$201,0))="",K91,INDEX($E$2:$E$201,MATCH(K91,$A$2:$A$201,0))),K91)&amp;"/","")&amp;IF(J91&lt;&gt;"",IFERROR(IF(INDEX($E$2:$E$201,MATCH(J91,$A$2:$A$201,0))="",J91,INDEX($E$2:$E$201,MATCH(J91,$A$2:$A$201,0))),J91)&amp;"/","")&amp;IF(I91&lt;&gt;"",IFERROR(IF(INDEX($E$2:$E$201,MATCH(I91,$A$2:$A$201,0))="",I91,INDEX($E$2:$E$201,MATCH(I91,$A$2:$A$201,0))),I91)&amp;"/","")&amp;IF(H91&lt;&gt;"",IFERROR(IF(INDEX($E$2:$E$201,MATCH(H91,$A$2:$A$201,0))="",H91,INDEX($E$2:$E$201,MATCH(H91,$A$2:$A$201,0))),H91)&amp;"/","")&amp;IF(E91="",A91,E91))</f>
        <v/>
      </c>
      <c r="G91" s="10" t="str">
        <f aca="false">IF(A91="","",IF(SUMPRODUCT(--EXACT($A$2:$A$201,A91))&gt;1,"Duplicate ID",IF(SUMPRODUCT(--EXACT('1 Types'!$A$2:$A$201,C91))=0,"Type is not on the Types sheet",IF(AND(D91&lt;&gt;"",NOT(SUMPRODUCT(--EXACT($A$2:$A$201,D91))&gt;0)),"Parent is not an asset",IF(AND(D91="",IFERROR(INDEX('1 Types'!$E$2:$E$201,MATCH(C91,'1 Types'!$A$2:$A$201,0)),"")&lt;&gt;"yes"),"Needs a parent",IF(OR(L91&lt;&gt;"",H91=A91,I91=A91,J91=A91,K91=A91),"Parent loop, or more than five levels","ok"))))))</f>
        <v/>
      </c>
      <c r="H91" s="10" t="str">
        <f aca="false">IF(A91="","",D91)</f>
        <v/>
      </c>
      <c r="I91" s="10" t="str">
        <f aca="false">IF(H91="","",IFERROR(INDEX($D$2:$D$201,MATCH(H91,$A$2:$A$201,0)),""))</f>
        <v/>
      </c>
      <c r="J91" s="10" t="str">
        <f aca="false">IF(I91="","",IFERROR(INDEX($D$2:$D$201,MATCH(I91,$A$2:$A$201,0)),""))</f>
        <v/>
      </c>
      <c r="K91" s="10" t="str">
        <f aca="false">IF(J91="","",IFERROR(INDEX($D$2:$D$201,MATCH(J91,$A$2:$A$201,0)),""))</f>
        <v/>
      </c>
      <c r="L91" s="10" t="str">
        <f aca="false">IF(K91="","",IFERROR(INDEX($D$2:$D$201,MATCH(K91,$A$2:$A$201,0)),""))</f>
        <v/>
      </c>
      <c r="M91" s="10" t="str">
        <f aca="false">IF(A91="","",IF(K91&lt;&gt;"",K91,IF(J91&lt;&gt;"",J91,IF(I91&lt;&gt;"",I91,IF(H91&lt;&gt;"",H91,A91)))))</f>
        <v/>
      </c>
    </row>
    <row r="92" customFormat="false" ht="15" hidden="false" customHeight="false" outlineLevel="0" collapsed="false">
      <c r="A92" s="9"/>
      <c r="B92" s="9"/>
      <c r="C92" s="9"/>
      <c r="D92" s="9"/>
      <c r="E92" s="9"/>
      <c r="F92" s="10" t="str">
        <f aca="false">IF(A92="","",IF(K92&lt;&gt;"",IFERROR(IF(INDEX($E$2:$E$201,MATCH(K92,$A$2:$A$201,0))="",K92,INDEX($E$2:$E$201,MATCH(K92,$A$2:$A$201,0))),K92)&amp;"/","")&amp;IF(J92&lt;&gt;"",IFERROR(IF(INDEX($E$2:$E$201,MATCH(J92,$A$2:$A$201,0))="",J92,INDEX($E$2:$E$201,MATCH(J92,$A$2:$A$201,0))),J92)&amp;"/","")&amp;IF(I92&lt;&gt;"",IFERROR(IF(INDEX($E$2:$E$201,MATCH(I92,$A$2:$A$201,0))="",I92,INDEX($E$2:$E$201,MATCH(I92,$A$2:$A$201,0))),I92)&amp;"/","")&amp;IF(H92&lt;&gt;"",IFERROR(IF(INDEX($E$2:$E$201,MATCH(H92,$A$2:$A$201,0))="",H92,INDEX($E$2:$E$201,MATCH(H92,$A$2:$A$201,0))),H92)&amp;"/","")&amp;IF(E92="",A92,E92))</f>
        <v/>
      </c>
      <c r="G92" s="10" t="str">
        <f aca="false">IF(A92="","",IF(SUMPRODUCT(--EXACT($A$2:$A$201,A92))&gt;1,"Duplicate ID",IF(SUMPRODUCT(--EXACT('1 Types'!$A$2:$A$201,C92))=0,"Type is not on the Types sheet",IF(AND(D92&lt;&gt;"",NOT(SUMPRODUCT(--EXACT($A$2:$A$201,D92))&gt;0)),"Parent is not an asset",IF(AND(D92="",IFERROR(INDEX('1 Types'!$E$2:$E$201,MATCH(C92,'1 Types'!$A$2:$A$201,0)),"")&lt;&gt;"yes"),"Needs a parent",IF(OR(L92&lt;&gt;"",H92=A92,I92=A92,J92=A92,K92=A92),"Parent loop, or more than five levels","ok"))))))</f>
        <v/>
      </c>
      <c r="H92" s="10" t="str">
        <f aca="false">IF(A92="","",D92)</f>
        <v/>
      </c>
      <c r="I92" s="10" t="str">
        <f aca="false">IF(H92="","",IFERROR(INDEX($D$2:$D$201,MATCH(H92,$A$2:$A$201,0)),""))</f>
        <v/>
      </c>
      <c r="J92" s="10" t="str">
        <f aca="false">IF(I92="","",IFERROR(INDEX($D$2:$D$201,MATCH(I92,$A$2:$A$201,0)),""))</f>
        <v/>
      </c>
      <c r="K92" s="10" t="str">
        <f aca="false">IF(J92="","",IFERROR(INDEX($D$2:$D$201,MATCH(J92,$A$2:$A$201,0)),""))</f>
        <v/>
      </c>
      <c r="L92" s="10" t="str">
        <f aca="false">IF(K92="","",IFERROR(INDEX($D$2:$D$201,MATCH(K92,$A$2:$A$201,0)),""))</f>
        <v/>
      </c>
      <c r="M92" s="10" t="str">
        <f aca="false">IF(A92="","",IF(K92&lt;&gt;"",K92,IF(J92&lt;&gt;"",J92,IF(I92&lt;&gt;"",I92,IF(H92&lt;&gt;"",H92,A92)))))</f>
        <v/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10" t="str">
        <f aca="false">IF(A93="","",IF(K93&lt;&gt;"",IFERROR(IF(INDEX($E$2:$E$201,MATCH(K93,$A$2:$A$201,0))="",K93,INDEX($E$2:$E$201,MATCH(K93,$A$2:$A$201,0))),K93)&amp;"/","")&amp;IF(J93&lt;&gt;"",IFERROR(IF(INDEX($E$2:$E$201,MATCH(J93,$A$2:$A$201,0))="",J93,INDEX($E$2:$E$201,MATCH(J93,$A$2:$A$201,0))),J93)&amp;"/","")&amp;IF(I93&lt;&gt;"",IFERROR(IF(INDEX($E$2:$E$201,MATCH(I93,$A$2:$A$201,0))="",I93,INDEX($E$2:$E$201,MATCH(I93,$A$2:$A$201,0))),I93)&amp;"/","")&amp;IF(H93&lt;&gt;"",IFERROR(IF(INDEX($E$2:$E$201,MATCH(H93,$A$2:$A$201,0))="",H93,INDEX($E$2:$E$201,MATCH(H93,$A$2:$A$201,0))),H93)&amp;"/","")&amp;IF(E93="",A93,E93))</f>
        <v/>
      </c>
      <c r="G93" s="10" t="str">
        <f aca="false">IF(A93="","",IF(SUMPRODUCT(--EXACT($A$2:$A$201,A93))&gt;1,"Duplicate ID",IF(SUMPRODUCT(--EXACT('1 Types'!$A$2:$A$201,C93))=0,"Type is not on the Types sheet",IF(AND(D93&lt;&gt;"",NOT(SUMPRODUCT(--EXACT($A$2:$A$201,D93))&gt;0)),"Parent is not an asset",IF(AND(D93="",IFERROR(INDEX('1 Types'!$E$2:$E$201,MATCH(C93,'1 Types'!$A$2:$A$201,0)),"")&lt;&gt;"yes"),"Needs a parent",IF(OR(L93&lt;&gt;"",H93=A93,I93=A93,J93=A93,K93=A93),"Parent loop, or more than five levels","ok"))))))</f>
        <v/>
      </c>
      <c r="H93" s="10" t="str">
        <f aca="false">IF(A93="","",D93)</f>
        <v/>
      </c>
      <c r="I93" s="10" t="str">
        <f aca="false">IF(H93="","",IFERROR(INDEX($D$2:$D$201,MATCH(H93,$A$2:$A$201,0)),""))</f>
        <v/>
      </c>
      <c r="J93" s="10" t="str">
        <f aca="false">IF(I93="","",IFERROR(INDEX($D$2:$D$201,MATCH(I93,$A$2:$A$201,0)),""))</f>
        <v/>
      </c>
      <c r="K93" s="10" t="str">
        <f aca="false">IF(J93="","",IFERROR(INDEX($D$2:$D$201,MATCH(J93,$A$2:$A$201,0)),""))</f>
        <v/>
      </c>
      <c r="L93" s="10" t="str">
        <f aca="false">IF(K93="","",IFERROR(INDEX($D$2:$D$201,MATCH(K93,$A$2:$A$201,0)),""))</f>
        <v/>
      </c>
      <c r="M93" s="10" t="str">
        <f aca="false">IF(A93="","",IF(K93&lt;&gt;"",K93,IF(J93&lt;&gt;"",J93,IF(I93&lt;&gt;"",I93,IF(H93&lt;&gt;"",H93,A93)))))</f>
        <v/>
      </c>
    </row>
    <row r="94" customFormat="false" ht="15" hidden="false" customHeight="false" outlineLevel="0" collapsed="false">
      <c r="A94" s="9"/>
      <c r="B94" s="9"/>
      <c r="C94" s="9"/>
      <c r="D94" s="9"/>
      <c r="E94" s="9"/>
      <c r="F94" s="10" t="str">
        <f aca="false">IF(A94="","",IF(K94&lt;&gt;"",IFERROR(IF(INDEX($E$2:$E$201,MATCH(K94,$A$2:$A$201,0))="",K94,INDEX($E$2:$E$201,MATCH(K94,$A$2:$A$201,0))),K94)&amp;"/","")&amp;IF(J94&lt;&gt;"",IFERROR(IF(INDEX($E$2:$E$201,MATCH(J94,$A$2:$A$201,0))="",J94,INDEX($E$2:$E$201,MATCH(J94,$A$2:$A$201,0))),J94)&amp;"/","")&amp;IF(I94&lt;&gt;"",IFERROR(IF(INDEX($E$2:$E$201,MATCH(I94,$A$2:$A$201,0))="",I94,INDEX($E$2:$E$201,MATCH(I94,$A$2:$A$201,0))),I94)&amp;"/","")&amp;IF(H94&lt;&gt;"",IFERROR(IF(INDEX($E$2:$E$201,MATCH(H94,$A$2:$A$201,0))="",H94,INDEX($E$2:$E$201,MATCH(H94,$A$2:$A$201,0))),H94)&amp;"/","")&amp;IF(E94="",A94,E94))</f>
        <v/>
      </c>
      <c r="G94" s="10" t="str">
        <f aca="false">IF(A94="","",IF(SUMPRODUCT(--EXACT($A$2:$A$201,A94))&gt;1,"Duplicate ID",IF(SUMPRODUCT(--EXACT('1 Types'!$A$2:$A$201,C94))=0,"Type is not on the Types sheet",IF(AND(D94&lt;&gt;"",NOT(SUMPRODUCT(--EXACT($A$2:$A$201,D94))&gt;0)),"Parent is not an asset",IF(AND(D94="",IFERROR(INDEX('1 Types'!$E$2:$E$201,MATCH(C94,'1 Types'!$A$2:$A$201,0)),"")&lt;&gt;"yes"),"Needs a parent",IF(OR(L94&lt;&gt;"",H94=A94,I94=A94,J94=A94,K94=A94),"Parent loop, or more than five levels","ok"))))))</f>
        <v/>
      </c>
      <c r="H94" s="10" t="str">
        <f aca="false">IF(A94="","",D94)</f>
        <v/>
      </c>
      <c r="I94" s="10" t="str">
        <f aca="false">IF(H94="","",IFERROR(INDEX($D$2:$D$201,MATCH(H94,$A$2:$A$201,0)),""))</f>
        <v/>
      </c>
      <c r="J94" s="10" t="str">
        <f aca="false">IF(I94="","",IFERROR(INDEX($D$2:$D$201,MATCH(I94,$A$2:$A$201,0)),""))</f>
        <v/>
      </c>
      <c r="K94" s="10" t="str">
        <f aca="false">IF(J94="","",IFERROR(INDEX($D$2:$D$201,MATCH(J94,$A$2:$A$201,0)),""))</f>
        <v/>
      </c>
      <c r="L94" s="10" t="str">
        <f aca="false">IF(K94="","",IFERROR(INDEX($D$2:$D$201,MATCH(K94,$A$2:$A$201,0)),""))</f>
        <v/>
      </c>
      <c r="M94" s="10" t="str">
        <f aca="false">IF(A94="","",IF(K94&lt;&gt;"",K94,IF(J94&lt;&gt;"",J94,IF(I94&lt;&gt;"",I94,IF(H94&lt;&gt;"",H94,A94)))))</f>
        <v/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10" t="str">
        <f aca="false">IF(A95="","",IF(K95&lt;&gt;"",IFERROR(IF(INDEX($E$2:$E$201,MATCH(K95,$A$2:$A$201,0))="",K95,INDEX($E$2:$E$201,MATCH(K95,$A$2:$A$201,0))),K95)&amp;"/","")&amp;IF(J95&lt;&gt;"",IFERROR(IF(INDEX($E$2:$E$201,MATCH(J95,$A$2:$A$201,0))="",J95,INDEX($E$2:$E$201,MATCH(J95,$A$2:$A$201,0))),J95)&amp;"/","")&amp;IF(I95&lt;&gt;"",IFERROR(IF(INDEX($E$2:$E$201,MATCH(I95,$A$2:$A$201,0))="",I95,INDEX($E$2:$E$201,MATCH(I95,$A$2:$A$201,0))),I95)&amp;"/","")&amp;IF(H95&lt;&gt;"",IFERROR(IF(INDEX($E$2:$E$201,MATCH(H95,$A$2:$A$201,0))="",H95,INDEX($E$2:$E$201,MATCH(H95,$A$2:$A$201,0))),H95)&amp;"/","")&amp;IF(E95="",A95,E95))</f>
        <v/>
      </c>
      <c r="G95" s="10" t="str">
        <f aca="false">IF(A95="","",IF(SUMPRODUCT(--EXACT($A$2:$A$201,A95))&gt;1,"Duplicate ID",IF(SUMPRODUCT(--EXACT('1 Types'!$A$2:$A$201,C95))=0,"Type is not on the Types sheet",IF(AND(D95&lt;&gt;"",NOT(SUMPRODUCT(--EXACT($A$2:$A$201,D95))&gt;0)),"Parent is not an asset",IF(AND(D95="",IFERROR(INDEX('1 Types'!$E$2:$E$201,MATCH(C95,'1 Types'!$A$2:$A$201,0)),"")&lt;&gt;"yes"),"Needs a parent",IF(OR(L95&lt;&gt;"",H95=A95,I95=A95,J95=A95,K95=A95),"Parent loop, or more than five levels","ok"))))))</f>
        <v/>
      </c>
      <c r="H95" s="10" t="str">
        <f aca="false">IF(A95="","",D95)</f>
        <v/>
      </c>
      <c r="I95" s="10" t="str">
        <f aca="false">IF(H95="","",IFERROR(INDEX($D$2:$D$201,MATCH(H95,$A$2:$A$201,0)),""))</f>
        <v/>
      </c>
      <c r="J95" s="10" t="str">
        <f aca="false">IF(I95="","",IFERROR(INDEX($D$2:$D$201,MATCH(I95,$A$2:$A$201,0)),""))</f>
        <v/>
      </c>
      <c r="K95" s="10" t="str">
        <f aca="false">IF(J95="","",IFERROR(INDEX($D$2:$D$201,MATCH(J95,$A$2:$A$201,0)),""))</f>
        <v/>
      </c>
      <c r="L95" s="10" t="str">
        <f aca="false">IF(K95="","",IFERROR(INDEX($D$2:$D$201,MATCH(K95,$A$2:$A$201,0)),""))</f>
        <v/>
      </c>
      <c r="M95" s="10" t="str">
        <f aca="false">IF(A95="","",IF(K95&lt;&gt;"",K95,IF(J95&lt;&gt;"",J95,IF(I95&lt;&gt;"",I95,IF(H95&lt;&gt;"",H95,A95)))))</f>
        <v/>
      </c>
    </row>
    <row r="96" customFormat="false" ht="15" hidden="false" customHeight="false" outlineLevel="0" collapsed="false">
      <c r="A96" s="9"/>
      <c r="B96" s="9"/>
      <c r="C96" s="9"/>
      <c r="D96" s="9"/>
      <c r="E96" s="9"/>
      <c r="F96" s="10" t="str">
        <f aca="false">IF(A96="","",IF(K96&lt;&gt;"",IFERROR(IF(INDEX($E$2:$E$201,MATCH(K96,$A$2:$A$201,0))="",K96,INDEX($E$2:$E$201,MATCH(K96,$A$2:$A$201,0))),K96)&amp;"/","")&amp;IF(J96&lt;&gt;"",IFERROR(IF(INDEX($E$2:$E$201,MATCH(J96,$A$2:$A$201,0))="",J96,INDEX($E$2:$E$201,MATCH(J96,$A$2:$A$201,0))),J96)&amp;"/","")&amp;IF(I96&lt;&gt;"",IFERROR(IF(INDEX($E$2:$E$201,MATCH(I96,$A$2:$A$201,0))="",I96,INDEX($E$2:$E$201,MATCH(I96,$A$2:$A$201,0))),I96)&amp;"/","")&amp;IF(H96&lt;&gt;"",IFERROR(IF(INDEX($E$2:$E$201,MATCH(H96,$A$2:$A$201,0))="",H96,INDEX($E$2:$E$201,MATCH(H96,$A$2:$A$201,0))),H96)&amp;"/","")&amp;IF(E96="",A96,E96))</f>
        <v/>
      </c>
      <c r="G96" s="10" t="str">
        <f aca="false">IF(A96="","",IF(SUMPRODUCT(--EXACT($A$2:$A$201,A96))&gt;1,"Duplicate ID",IF(SUMPRODUCT(--EXACT('1 Types'!$A$2:$A$201,C96))=0,"Type is not on the Types sheet",IF(AND(D96&lt;&gt;"",NOT(SUMPRODUCT(--EXACT($A$2:$A$201,D96))&gt;0)),"Parent is not an asset",IF(AND(D96="",IFERROR(INDEX('1 Types'!$E$2:$E$201,MATCH(C96,'1 Types'!$A$2:$A$201,0)),"")&lt;&gt;"yes"),"Needs a parent",IF(OR(L96&lt;&gt;"",H96=A96,I96=A96,J96=A96,K96=A96),"Parent loop, or more than five levels","ok"))))))</f>
        <v/>
      </c>
      <c r="H96" s="10" t="str">
        <f aca="false">IF(A96="","",D96)</f>
        <v/>
      </c>
      <c r="I96" s="10" t="str">
        <f aca="false">IF(H96="","",IFERROR(INDEX($D$2:$D$201,MATCH(H96,$A$2:$A$201,0)),""))</f>
        <v/>
      </c>
      <c r="J96" s="10" t="str">
        <f aca="false">IF(I96="","",IFERROR(INDEX($D$2:$D$201,MATCH(I96,$A$2:$A$201,0)),""))</f>
        <v/>
      </c>
      <c r="K96" s="10" t="str">
        <f aca="false">IF(J96="","",IFERROR(INDEX($D$2:$D$201,MATCH(J96,$A$2:$A$201,0)),""))</f>
        <v/>
      </c>
      <c r="L96" s="10" t="str">
        <f aca="false">IF(K96="","",IFERROR(INDEX($D$2:$D$201,MATCH(K96,$A$2:$A$201,0)),""))</f>
        <v/>
      </c>
      <c r="M96" s="10" t="str">
        <f aca="false">IF(A96="","",IF(K96&lt;&gt;"",K96,IF(J96&lt;&gt;"",J96,IF(I96&lt;&gt;"",I96,IF(H96&lt;&gt;"",H96,A96)))))</f>
        <v/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10" t="str">
        <f aca="false">IF(A97="","",IF(K97&lt;&gt;"",IFERROR(IF(INDEX($E$2:$E$201,MATCH(K97,$A$2:$A$201,0))="",K97,INDEX($E$2:$E$201,MATCH(K97,$A$2:$A$201,0))),K97)&amp;"/","")&amp;IF(J97&lt;&gt;"",IFERROR(IF(INDEX($E$2:$E$201,MATCH(J97,$A$2:$A$201,0))="",J97,INDEX($E$2:$E$201,MATCH(J97,$A$2:$A$201,0))),J97)&amp;"/","")&amp;IF(I97&lt;&gt;"",IFERROR(IF(INDEX($E$2:$E$201,MATCH(I97,$A$2:$A$201,0))="",I97,INDEX($E$2:$E$201,MATCH(I97,$A$2:$A$201,0))),I97)&amp;"/","")&amp;IF(H97&lt;&gt;"",IFERROR(IF(INDEX($E$2:$E$201,MATCH(H97,$A$2:$A$201,0))="",H97,INDEX($E$2:$E$201,MATCH(H97,$A$2:$A$201,0))),H97)&amp;"/","")&amp;IF(E97="",A97,E97))</f>
        <v/>
      </c>
      <c r="G97" s="10" t="str">
        <f aca="false">IF(A97="","",IF(SUMPRODUCT(--EXACT($A$2:$A$201,A97))&gt;1,"Duplicate ID",IF(SUMPRODUCT(--EXACT('1 Types'!$A$2:$A$201,C97))=0,"Type is not on the Types sheet",IF(AND(D97&lt;&gt;"",NOT(SUMPRODUCT(--EXACT($A$2:$A$201,D97))&gt;0)),"Parent is not an asset",IF(AND(D97="",IFERROR(INDEX('1 Types'!$E$2:$E$201,MATCH(C97,'1 Types'!$A$2:$A$201,0)),"")&lt;&gt;"yes"),"Needs a parent",IF(OR(L97&lt;&gt;"",H97=A97,I97=A97,J97=A97,K97=A97),"Parent loop, or more than five levels","ok"))))))</f>
        <v/>
      </c>
      <c r="H97" s="10" t="str">
        <f aca="false">IF(A97="","",D97)</f>
        <v/>
      </c>
      <c r="I97" s="10" t="str">
        <f aca="false">IF(H97="","",IFERROR(INDEX($D$2:$D$201,MATCH(H97,$A$2:$A$201,0)),""))</f>
        <v/>
      </c>
      <c r="J97" s="10" t="str">
        <f aca="false">IF(I97="","",IFERROR(INDEX($D$2:$D$201,MATCH(I97,$A$2:$A$201,0)),""))</f>
        <v/>
      </c>
      <c r="K97" s="10" t="str">
        <f aca="false">IF(J97="","",IFERROR(INDEX($D$2:$D$201,MATCH(J97,$A$2:$A$201,0)),""))</f>
        <v/>
      </c>
      <c r="L97" s="10" t="str">
        <f aca="false">IF(K97="","",IFERROR(INDEX($D$2:$D$201,MATCH(K97,$A$2:$A$201,0)),""))</f>
        <v/>
      </c>
      <c r="M97" s="10" t="str">
        <f aca="false">IF(A97="","",IF(K97&lt;&gt;"",K97,IF(J97&lt;&gt;"",J97,IF(I97&lt;&gt;"",I97,IF(H97&lt;&gt;"",H97,A97)))))</f>
        <v/>
      </c>
    </row>
    <row r="98" customFormat="false" ht="15" hidden="false" customHeight="false" outlineLevel="0" collapsed="false">
      <c r="A98" s="9"/>
      <c r="B98" s="9"/>
      <c r="C98" s="9"/>
      <c r="D98" s="9"/>
      <c r="E98" s="9"/>
      <c r="F98" s="10" t="str">
        <f aca="false">IF(A98="","",IF(K98&lt;&gt;"",IFERROR(IF(INDEX($E$2:$E$201,MATCH(K98,$A$2:$A$201,0))="",K98,INDEX($E$2:$E$201,MATCH(K98,$A$2:$A$201,0))),K98)&amp;"/","")&amp;IF(J98&lt;&gt;"",IFERROR(IF(INDEX($E$2:$E$201,MATCH(J98,$A$2:$A$201,0))="",J98,INDEX($E$2:$E$201,MATCH(J98,$A$2:$A$201,0))),J98)&amp;"/","")&amp;IF(I98&lt;&gt;"",IFERROR(IF(INDEX($E$2:$E$201,MATCH(I98,$A$2:$A$201,0))="",I98,INDEX($E$2:$E$201,MATCH(I98,$A$2:$A$201,0))),I98)&amp;"/","")&amp;IF(H98&lt;&gt;"",IFERROR(IF(INDEX($E$2:$E$201,MATCH(H98,$A$2:$A$201,0))="",H98,INDEX($E$2:$E$201,MATCH(H98,$A$2:$A$201,0))),H98)&amp;"/","")&amp;IF(E98="",A98,E98))</f>
        <v/>
      </c>
      <c r="G98" s="10" t="str">
        <f aca="false">IF(A98="","",IF(SUMPRODUCT(--EXACT($A$2:$A$201,A98))&gt;1,"Duplicate ID",IF(SUMPRODUCT(--EXACT('1 Types'!$A$2:$A$201,C98))=0,"Type is not on the Types sheet",IF(AND(D98&lt;&gt;"",NOT(SUMPRODUCT(--EXACT($A$2:$A$201,D98))&gt;0)),"Parent is not an asset",IF(AND(D98="",IFERROR(INDEX('1 Types'!$E$2:$E$201,MATCH(C98,'1 Types'!$A$2:$A$201,0)),"")&lt;&gt;"yes"),"Needs a parent",IF(OR(L98&lt;&gt;"",H98=A98,I98=A98,J98=A98,K98=A98),"Parent loop, or more than five levels","ok"))))))</f>
        <v/>
      </c>
      <c r="H98" s="10" t="str">
        <f aca="false">IF(A98="","",D98)</f>
        <v/>
      </c>
      <c r="I98" s="10" t="str">
        <f aca="false">IF(H98="","",IFERROR(INDEX($D$2:$D$201,MATCH(H98,$A$2:$A$201,0)),""))</f>
        <v/>
      </c>
      <c r="J98" s="10" t="str">
        <f aca="false">IF(I98="","",IFERROR(INDEX($D$2:$D$201,MATCH(I98,$A$2:$A$201,0)),""))</f>
        <v/>
      </c>
      <c r="K98" s="10" t="str">
        <f aca="false">IF(J98="","",IFERROR(INDEX($D$2:$D$201,MATCH(J98,$A$2:$A$201,0)),""))</f>
        <v/>
      </c>
      <c r="L98" s="10" t="str">
        <f aca="false">IF(K98="","",IFERROR(INDEX($D$2:$D$201,MATCH(K98,$A$2:$A$201,0)),""))</f>
        <v/>
      </c>
      <c r="M98" s="10" t="str">
        <f aca="false">IF(A98="","",IF(K98&lt;&gt;"",K98,IF(J98&lt;&gt;"",J98,IF(I98&lt;&gt;"",I98,IF(H98&lt;&gt;"",H98,A98)))))</f>
        <v/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10" t="str">
        <f aca="false">IF(A99="","",IF(K99&lt;&gt;"",IFERROR(IF(INDEX($E$2:$E$201,MATCH(K99,$A$2:$A$201,0))="",K99,INDEX($E$2:$E$201,MATCH(K99,$A$2:$A$201,0))),K99)&amp;"/","")&amp;IF(J99&lt;&gt;"",IFERROR(IF(INDEX($E$2:$E$201,MATCH(J99,$A$2:$A$201,0))="",J99,INDEX($E$2:$E$201,MATCH(J99,$A$2:$A$201,0))),J99)&amp;"/","")&amp;IF(I99&lt;&gt;"",IFERROR(IF(INDEX($E$2:$E$201,MATCH(I99,$A$2:$A$201,0))="",I99,INDEX($E$2:$E$201,MATCH(I99,$A$2:$A$201,0))),I99)&amp;"/","")&amp;IF(H99&lt;&gt;"",IFERROR(IF(INDEX($E$2:$E$201,MATCH(H99,$A$2:$A$201,0))="",H99,INDEX($E$2:$E$201,MATCH(H99,$A$2:$A$201,0))),H99)&amp;"/","")&amp;IF(E99="",A99,E99))</f>
        <v/>
      </c>
      <c r="G99" s="10" t="str">
        <f aca="false">IF(A99="","",IF(SUMPRODUCT(--EXACT($A$2:$A$201,A99))&gt;1,"Duplicate ID",IF(SUMPRODUCT(--EXACT('1 Types'!$A$2:$A$201,C99))=0,"Type is not on the Types sheet",IF(AND(D99&lt;&gt;"",NOT(SUMPRODUCT(--EXACT($A$2:$A$201,D99))&gt;0)),"Parent is not an asset",IF(AND(D99="",IFERROR(INDEX('1 Types'!$E$2:$E$201,MATCH(C99,'1 Types'!$A$2:$A$201,0)),"")&lt;&gt;"yes"),"Needs a parent",IF(OR(L99&lt;&gt;"",H99=A99,I99=A99,J99=A99,K99=A99),"Parent loop, or more than five levels","ok"))))))</f>
        <v/>
      </c>
      <c r="H99" s="10" t="str">
        <f aca="false">IF(A99="","",D99)</f>
        <v/>
      </c>
      <c r="I99" s="10" t="str">
        <f aca="false">IF(H99="","",IFERROR(INDEX($D$2:$D$201,MATCH(H99,$A$2:$A$201,0)),""))</f>
        <v/>
      </c>
      <c r="J99" s="10" t="str">
        <f aca="false">IF(I99="","",IFERROR(INDEX($D$2:$D$201,MATCH(I99,$A$2:$A$201,0)),""))</f>
        <v/>
      </c>
      <c r="K99" s="10" t="str">
        <f aca="false">IF(J99="","",IFERROR(INDEX($D$2:$D$201,MATCH(J99,$A$2:$A$201,0)),""))</f>
        <v/>
      </c>
      <c r="L99" s="10" t="str">
        <f aca="false">IF(K99="","",IFERROR(INDEX($D$2:$D$201,MATCH(K99,$A$2:$A$201,0)),""))</f>
        <v/>
      </c>
      <c r="M99" s="10" t="str">
        <f aca="false">IF(A99="","",IF(K99&lt;&gt;"",K99,IF(J99&lt;&gt;"",J99,IF(I99&lt;&gt;"",I99,IF(H99&lt;&gt;"",H99,A99)))))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10" t="str">
        <f aca="false">IF(A100="","",IF(K100&lt;&gt;"",IFERROR(IF(INDEX($E$2:$E$201,MATCH(K100,$A$2:$A$201,0))="",K100,INDEX($E$2:$E$201,MATCH(K100,$A$2:$A$201,0))),K100)&amp;"/","")&amp;IF(J100&lt;&gt;"",IFERROR(IF(INDEX($E$2:$E$201,MATCH(J100,$A$2:$A$201,0))="",J100,INDEX($E$2:$E$201,MATCH(J100,$A$2:$A$201,0))),J100)&amp;"/","")&amp;IF(I100&lt;&gt;"",IFERROR(IF(INDEX($E$2:$E$201,MATCH(I100,$A$2:$A$201,0))="",I100,INDEX($E$2:$E$201,MATCH(I100,$A$2:$A$201,0))),I100)&amp;"/","")&amp;IF(H100&lt;&gt;"",IFERROR(IF(INDEX($E$2:$E$201,MATCH(H100,$A$2:$A$201,0))="",H100,INDEX($E$2:$E$201,MATCH(H100,$A$2:$A$201,0))),H100)&amp;"/","")&amp;IF(E100="",A100,E100))</f>
        <v/>
      </c>
      <c r="G100" s="10" t="str">
        <f aca="false">IF(A100="","",IF(SUMPRODUCT(--EXACT($A$2:$A$201,A100))&gt;1,"Duplicate ID",IF(SUMPRODUCT(--EXACT('1 Types'!$A$2:$A$201,C100))=0,"Type is not on the Types sheet",IF(AND(D100&lt;&gt;"",NOT(SUMPRODUCT(--EXACT($A$2:$A$201,D100))&gt;0)),"Parent is not an asset",IF(AND(D100="",IFERROR(INDEX('1 Types'!$E$2:$E$201,MATCH(C100,'1 Types'!$A$2:$A$201,0)),"")&lt;&gt;"yes"),"Needs a parent",IF(OR(L100&lt;&gt;"",H100=A100,I100=A100,J100=A100,K100=A100),"Parent loop, or more than five levels","ok"))))))</f>
        <v/>
      </c>
      <c r="H100" s="10" t="str">
        <f aca="false">IF(A100="","",D100)</f>
        <v/>
      </c>
      <c r="I100" s="10" t="str">
        <f aca="false">IF(H100="","",IFERROR(INDEX($D$2:$D$201,MATCH(H100,$A$2:$A$201,0)),""))</f>
        <v/>
      </c>
      <c r="J100" s="10" t="str">
        <f aca="false">IF(I100="","",IFERROR(INDEX($D$2:$D$201,MATCH(I100,$A$2:$A$201,0)),""))</f>
        <v/>
      </c>
      <c r="K100" s="10" t="str">
        <f aca="false">IF(J100="","",IFERROR(INDEX($D$2:$D$201,MATCH(J100,$A$2:$A$201,0)),""))</f>
        <v/>
      </c>
      <c r="L100" s="10" t="str">
        <f aca="false">IF(K100="","",IFERROR(INDEX($D$2:$D$201,MATCH(K100,$A$2:$A$201,0)),""))</f>
        <v/>
      </c>
      <c r="M100" s="10" t="str">
        <f aca="false">IF(A100="","",IF(K100&lt;&gt;"",K100,IF(J100&lt;&gt;"",J100,IF(I100&lt;&gt;"",I100,IF(H100&lt;&gt;"",H100,A100)))))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10" t="str">
        <f aca="false">IF(A101="","",IF(K101&lt;&gt;"",IFERROR(IF(INDEX($E$2:$E$201,MATCH(K101,$A$2:$A$201,0))="",K101,INDEX($E$2:$E$201,MATCH(K101,$A$2:$A$201,0))),K101)&amp;"/","")&amp;IF(J101&lt;&gt;"",IFERROR(IF(INDEX($E$2:$E$201,MATCH(J101,$A$2:$A$201,0))="",J101,INDEX($E$2:$E$201,MATCH(J101,$A$2:$A$201,0))),J101)&amp;"/","")&amp;IF(I101&lt;&gt;"",IFERROR(IF(INDEX($E$2:$E$201,MATCH(I101,$A$2:$A$201,0))="",I101,INDEX($E$2:$E$201,MATCH(I101,$A$2:$A$201,0))),I101)&amp;"/","")&amp;IF(H101&lt;&gt;"",IFERROR(IF(INDEX($E$2:$E$201,MATCH(H101,$A$2:$A$201,0))="",H101,INDEX($E$2:$E$201,MATCH(H101,$A$2:$A$201,0))),H101)&amp;"/","")&amp;IF(E101="",A101,E101))</f>
        <v/>
      </c>
      <c r="G101" s="10" t="str">
        <f aca="false">IF(A101="","",IF(SUMPRODUCT(--EXACT($A$2:$A$201,A101))&gt;1,"Duplicate ID",IF(SUMPRODUCT(--EXACT('1 Types'!$A$2:$A$201,C101))=0,"Type is not on the Types sheet",IF(AND(D101&lt;&gt;"",NOT(SUMPRODUCT(--EXACT($A$2:$A$201,D101))&gt;0)),"Parent is not an asset",IF(AND(D101="",IFERROR(INDEX('1 Types'!$E$2:$E$201,MATCH(C101,'1 Types'!$A$2:$A$201,0)),"")&lt;&gt;"yes"),"Needs a parent",IF(OR(L101&lt;&gt;"",H101=A101,I101=A101,J101=A101,K101=A101),"Parent loop, or more than five levels","ok"))))))</f>
        <v/>
      </c>
      <c r="H101" s="10" t="str">
        <f aca="false">IF(A101="","",D101)</f>
        <v/>
      </c>
      <c r="I101" s="10" t="str">
        <f aca="false">IF(H101="","",IFERROR(INDEX($D$2:$D$201,MATCH(H101,$A$2:$A$201,0)),""))</f>
        <v/>
      </c>
      <c r="J101" s="10" t="str">
        <f aca="false">IF(I101="","",IFERROR(INDEX($D$2:$D$201,MATCH(I101,$A$2:$A$201,0)),""))</f>
        <v/>
      </c>
      <c r="K101" s="10" t="str">
        <f aca="false">IF(J101="","",IFERROR(INDEX($D$2:$D$201,MATCH(J101,$A$2:$A$201,0)),""))</f>
        <v/>
      </c>
      <c r="L101" s="10" t="str">
        <f aca="false">IF(K101="","",IFERROR(INDEX($D$2:$D$201,MATCH(K101,$A$2:$A$201,0)),""))</f>
        <v/>
      </c>
      <c r="M101" s="10" t="str">
        <f aca="false">IF(A101="","",IF(K101&lt;&gt;"",K101,IF(J101&lt;&gt;"",J101,IF(I101&lt;&gt;"",I101,IF(H101&lt;&gt;"",H101,A101)))))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10" t="str">
        <f aca="false">IF(A102="","",IF(K102&lt;&gt;"",IFERROR(IF(INDEX($E$2:$E$201,MATCH(K102,$A$2:$A$201,0))="",K102,INDEX($E$2:$E$201,MATCH(K102,$A$2:$A$201,0))),K102)&amp;"/","")&amp;IF(J102&lt;&gt;"",IFERROR(IF(INDEX($E$2:$E$201,MATCH(J102,$A$2:$A$201,0))="",J102,INDEX($E$2:$E$201,MATCH(J102,$A$2:$A$201,0))),J102)&amp;"/","")&amp;IF(I102&lt;&gt;"",IFERROR(IF(INDEX($E$2:$E$201,MATCH(I102,$A$2:$A$201,0))="",I102,INDEX($E$2:$E$201,MATCH(I102,$A$2:$A$201,0))),I102)&amp;"/","")&amp;IF(H102&lt;&gt;"",IFERROR(IF(INDEX($E$2:$E$201,MATCH(H102,$A$2:$A$201,0))="",H102,INDEX($E$2:$E$201,MATCH(H102,$A$2:$A$201,0))),H102)&amp;"/","")&amp;IF(E102="",A102,E102))</f>
        <v/>
      </c>
      <c r="G102" s="10" t="str">
        <f aca="false">IF(A102="","",IF(SUMPRODUCT(--EXACT($A$2:$A$201,A102))&gt;1,"Duplicate ID",IF(SUMPRODUCT(--EXACT('1 Types'!$A$2:$A$201,C102))=0,"Type is not on the Types sheet",IF(AND(D102&lt;&gt;"",NOT(SUMPRODUCT(--EXACT($A$2:$A$201,D102))&gt;0)),"Parent is not an asset",IF(AND(D102="",IFERROR(INDEX('1 Types'!$E$2:$E$201,MATCH(C102,'1 Types'!$A$2:$A$201,0)),"")&lt;&gt;"yes"),"Needs a parent",IF(OR(L102&lt;&gt;"",H102=A102,I102=A102,J102=A102,K102=A102),"Parent loop, or more than five levels","ok"))))))</f>
        <v/>
      </c>
      <c r="H102" s="10" t="str">
        <f aca="false">IF(A102="","",D102)</f>
        <v/>
      </c>
      <c r="I102" s="10" t="str">
        <f aca="false">IF(H102="","",IFERROR(INDEX($D$2:$D$201,MATCH(H102,$A$2:$A$201,0)),""))</f>
        <v/>
      </c>
      <c r="J102" s="10" t="str">
        <f aca="false">IF(I102="","",IFERROR(INDEX($D$2:$D$201,MATCH(I102,$A$2:$A$201,0)),""))</f>
        <v/>
      </c>
      <c r="K102" s="10" t="str">
        <f aca="false">IF(J102="","",IFERROR(INDEX($D$2:$D$201,MATCH(J102,$A$2:$A$201,0)),""))</f>
        <v/>
      </c>
      <c r="L102" s="10" t="str">
        <f aca="false">IF(K102="","",IFERROR(INDEX($D$2:$D$201,MATCH(K102,$A$2:$A$201,0)),""))</f>
        <v/>
      </c>
      <c r="M102" s="10" t="str">
        <f aca="false">IF(A102="","",IF(K102&lt;&gt;"",K102,IF(J102&lt;&gt;"",J102,IF(I102&lt;&gt;"",I102,IF(H102&lt;&gt;"",H102,A102)))))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10" t="str">
        <f aca="false">IF(A103="","",IF(K103&lt;&gt;"",IFERROR(IF(INDEX($E$2:$E$201,MATCH(K103,$A$2:$A$201,0))="",K103,INDEX($E$2:$E$201,MATCH(K103,$A$2:$A$201,0))),K103)&amp;"/","")&amp;IF(J103&lt;&gt;"",IFERROR(IF(INDEX($E$2:$E$201,MATCH(J103,$A$2:$A$201,0))="",J103,INDEX($E$2:$E$201,MATCH(J103,$A$2:$A$201,0))),J103)&amp;"/","")&amp;IF(I103&lt;&gt;"",IFERROR(IF(INDEX($E$2:$E$201,MATCH(I103,$A$2:$A$201,0))="",I103,INDEX($E$2:$E$201,MATCH(I103,$A$2:$A$201,0))),I103)&amp;"/","")&amp;IF(H103&lt;&gt;"",IFERROR(IF(INDEX($E$2:$E$201,MATCH(H103,$A$2:$A$201,0))="",H103,INDEX($E$2:$E$201,MATCH(H103,$A$2:$A$201,0))),H103)&amp;"/","")&amp;IF(E103="",A103,E103))</f>
        <v/>
      </c>
      <c r="G103" s="10" t="str">
        <f aca="false">IF(A103="","",IF(SUMPRODUCT(--EXACT($A$2:$A$201,A103))&gt;1,"Duplicate ID",IF(SUMPRODUCT(--EXACT('1 Types'!$A$2:$A$201,C103))=0,"Type is not on the Types sheet",IF(AND(D103&lt;&gt;"",NOT(SUMPRODUCT(--EXACT($A$2:$A$201,D103))&gt;0)),"Parent is not an asset",IF(AND(D103="",IFERROR(INDEX('1 Types'!$E$2:$E$201,MATCH(C103,'1 Types'!$A$2:$A$201,0)),"")&lt;&gt;"yes"),"Needs a parent",IF(OR(L103&lt;&gt;"",H103=A103,I103=A103,J103=A103,K103=A103),"Parent loop, or more than five levels","ok"))))))</f>
        <v/>
      </c>
      <c r="H103" s="10" t="str">
        <f aca="false">IF(A103="","",D103)</f>
        <v/>
      </c>
      <c r="I103" s="10" t="str">
        <f aca="false">IF(H103="","",IFERROR(INDEX($D$2:$D$201,MATCH(H103,$A$2:$A$201,0)),""))</f>
        <v/>
      </c>
      <c r="J103" s="10" t="str">
        <f aca="false">IF(I103="","",IFERROR(INDEX($D$2:$D$201,MATCH(I103,$A$2:$A$201,0)),""))</f>
        <v/>
      </c>
      <c r="K103" s="10" t="str">
        <f aca="false">IF(J103="","",IFERROR(INDEX($D$2:$D$201,MATCH(J103,$A$2:$A$201,0)),""))</f>
        <v/>
      </c>
      <c r="L103" s="10" t="str">
        <f aca="false">IF(K103="","",IFERROR(INDEX($D$2:$D$201,MATCH(K103,$A$2:$A$201,0)),""))</f>
        <v/>
      </c>
      <c r="M103" s="10" t="str">
        <f aca="false">IF(A103="","",IF(K103&lt;&gt;"",K103,IF(J103&lt;&gt;"",J103,IF(I103&lt;&gt;"",I103,IF(H103&lt;&gt;"",H103,A103)))))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10" t="str">
        <f aca="false">IF(A104="","",IF(K104&lt;&gt;"",IFERROR(IF(INDEX($E$2:$E$201,MATCH(K104,$A$2:$A$201,0))="",K104,INDEX($E$2:$E$201,MATCH(K104,$A$2:$A$201,0))),K104)&amp;"/","")&amp;IF(J104&lt;&gt;"",IFERROR(IF(INDEX($E$2:$E$201,MATCH(J104,$A$2:$A$201,0))="",J104,INDEX($E$2:$E$201,MATCH(J104,$A$2:$A$201,0))),J104)&amp;"/","")&amp;IF(I104&lt;&gt;"",IFERROR(IF(INDEX($E$2:$E$201,MATCH(I104,$A$2:$A$201,0))="",I104,INDEX($E$2:$E$201,MATCH(I104,$A$2:$A$201,0))),I104)&amp;"/","")&amp;IF(H104&lt;&gt;"",IFERROR(IF(INDEX($E$2:$E$201,MATCH(H104,$A$2:$A$201,0))="",H104,INDEX($E$2:$E$201,MATCH(H104,$A$2:$A$201,0))),H104)&amp;"/","")&amp;IF(E104="",A104,E104))</f>
        <v/>
      </c>
      <c r="G104" s="10" t="str">
        <f aca="false">IF(A104="","",IF(SUMPRODUCT(--EXACT($A$2:$A$201,A104))&gt;1,"Duplicate ID",IF(SUMPRODUCT(--EXACT('1 Types'!$A$2:$A$201,C104))=0,"Type is not on the Types sheet",IF(AND(D104&lt;&gt;"",NOT(SUMPRODUCT(--EXACT($A$2:$A$201,D104))&gt;0)),"Parent is not an asset",IF(AND(D104="",IFERROR(INDEX('1 Types'!$E$2:$E$201,MATCH(C104,'1 Types'!$A$2:$A$201,0)),"")&lt;&gt;"yes"),"Needs a parent",IF(OR(L104&lt;&gt;"",H104=A104,I104=A104,J104=A104,K104=A104),"Parent loop, or more than five levels","ok"))))))</f>
        <v/>
      </c>
      <c r="H104" s="10" t="str">
        <f aca="false">IF(A104="","",D104)</f>
        <v/>
      </c>
      <c r="I104" s="10" t="str">
        <f aca="false">IF(H104="","",IFERROR(INDEX($D$2:$D$201,MATCH(H104,$A$2:$A$201,0)),""))</f>
        <v/>
      </c>
      <c r="J104" s="10" t="str">
        <f aca="false">IF(I104="","",IFERROR(INDEX($D$2:$D$201,MATCH(I104,$A$2:$A$201,0)),""))</f>
        <v/>
      </c>
      <c r="K104" s="10" t="str">
        <f aca="false">IF(J104="","",IFERROR(INDEX($D$2:$D$201,MATCH(J104,$A$2:$A$201,0)),""))</f>
        <v/>
      </c>
      <c r="L104" s="10" t="str">
        <f aca="false">IF(K104="","",IFERROR(INDEX($D$2:$D$201,MATCH(K104,$A$2:$A$201,0)),""))</f>
        <v/>
      </c>
      <c r="M104" s="10" t="str">
        <f aca="false">IF(A104="","",IF(K104&lt;&gt;"",K104,IF(J104&lt;&gt;"",J104,IF(I104&lt;&gt;"",I104,IF(H104&lt;&gt;"",H104,A104)))))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10" t="str">
        <f aca="false">IF(A105="","",IF(K105&lt;&gt;"",IFERROR(IF(INDEX($E$2:$E$201,MATCH(K105,$A$2:$A$201,0))="",K105,INDEX($E$2:$E$201,MATCH(K105,$A$2:$A$201,0))),K105)&amp;"/","")&amp;IF(J105&lt;&gt;"",IFERROR(IF(INDEX($E$2:$E$201,MATCH(J105,$A$2:$A$201,0))="",J105,INDEX($E$2:$E$201,MATCH(J105,$A$2:$A$201,0))),J105)&amp;"/","")&amp;IF(I105&lt;&gt;"",IFERROR(IF(INDEX($E$2:$E$201,MATCH(I105,$A$2:$A$201,0))="",I105,INDEX($E$2:$E$201,MATCH(I105,$A$2:$A$201,0))),I105)&amp;"/","")&amp;IF(H105&lt;&gt;"",IFERROR(IF(INDEX($E$2:$E$201,MATCH(H105,$A$2:$A$201,0))="",H105,INDEX($E$2:$E$201,MATCH(H105,$A$2:$A$201,0))),H105)&amp;"/","")&amp;IF(E105="",A105,E105))</f>
        <v/>
      </c>
      <c r="G105" s="10" t="str">
        <f aca="false">IF(A105="","",IF(SUMPRODUCT(--EXACT($A$2:$A$201,A105))&gt;1,"Duplicate ID",IF(SUMPRODUCT(--EXACT('1 Types'!$A$2:$A$201,C105))=0,"Type is not on the Types sheet",IF(AND(D105&lt;&gt;"",NOT(SUMPRODUCT(--EXACT($A$2:$A$201,D105))&gt;0)),"Parent is not an asset",IF(AND(D105="",IFERROR(INDEX('1 Types'!$E$2:$E$201,MATCH(C105,'1 Types'!$A$2:$A$201,0)),"")&lt;&gt;"yes"),"Needs a parent",IF(OR(L105&lt;&gt;"",H105=A105,I105=A105,J105=A105,K105=A105),"Parent loop, or more than five levels","ok"))))))</f>
        <v/>
      </c>
      <c r="H105" s="10" t="str">
        <f aca="false">IF(A105="","",D105)</f>
        <v/>
      </c>
      <c r="I105" s="10" t="str">
        <f aca="false">IF(H105="","",IFERROR(INDEX($D$2:$D$201,MATCH(H105,$A$2:$A$201,0)),""))</f>
        <v/>
      </c>
      <c r="J105" s="10" t="str">
        <f aca="false">IF(I105="","",IFERROR(INDEX($D$2:$D$201,MATCH(I105,$A$2:$A$201,0)),""))</f>
        <v/>
      </c>
      <c r="K105" s="10" t="str">
        <f aca="false">IF(J105="","",IFERROR(INDEX($D$2:$D$201,MATCH(J105,$A$2:$A$201,0)),""))</f>
        <v/>
      </c>
      <c r="L105" s="10" t="str">
        <f aca="false">IF(K105="","",IFERROR(INDEX($D$2:$D$201,MATCH(K105,$A$2:$A$201,0)),""))</f>
        <v/>
      </c>
      <c r="M105" s="10" t="str">
        <f aca="false">IF(A105="","",IF(K105&lt;&gt;"",K105,IF(J105&lt;&gt;"",J105,IF(I105&lt;&gt;"",I105,IF(H105&lt;&gt;"",H105,A105)))))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10" t="str">
        <f aca="false">IF(A106="","",IF(K106&lt;&gt;"",IFERROR(IF(INDEX($E$2:$E$201,MATCH(K106,$A$2:$A$201,0))="",K106,INDEX($E$2:$E$201,MATCH(K106,$A$2:$A$201,0))),K106)&amp;"/","")&amp;IF(J106&lt;&gt;"",IFERROR(IF(INDEX($E$2:$E$201,MATCH(J106,$A$2:$A$201,0))="",J106,INDEX($E$2:$E$201,MATCH(J106,$A$2:$A$201,0))),J106)&amp;"/","")&amp;IF(I106&lt;&gt;"",IFERROR(IF(INDEX($E$2:$E$201,MATCH(I106,$A$2:$A$201,0))="",I106,INDEX($E$2:$E$201,MATCH(I106,$A$2:$A$201,0))),I106)&amp;"/","")&amp;IF(H106&lt;&gt;"",IFERROR(IF(INDEX($E$2:$E$201,MATCH(H106,$A$2:$A$201,0))="",H106,INDEX($E$2:$E$201,MATCH(H106,$A$2:$A$201,0))),H106)&amp;"/","")&amp;IF(E106="",A106,E106))</f>
        <v/>
      </c>
      <c r="G106" s="10" t="str">
        <f aca="false">IF(A106="","",IF(SUMPRODUCT(--EXACT($A$2:$A$201,A106))&gt;1,"Duplicate ID",IF(SUMPRODUCT(--EXACT('1 Types'!$A$2:$A$201,C106))=0,"Type is not on the Types sheet",IF(AND(D106&lt;&gt;"",NOT(SUMPRODUCT(--EXACT($A$2:$A$201,D106))&gt;0)),"Parent is not an asset",IF(AND(D106="",IFERROR(INDEX('1 Types'!$E$2:$E$201,MATCH(C106,'1 Types'!$A$2:$A$201,0)),"")&lt;&gt;"yes"),"Needs a parent",IF(OR(L106&lt;&gt;"",H106=A106,I106=A106,J106=A106,K106=A106),"Parent loop, or more than five levels","ok"))))))</f>
        <v/>
      </c>
      <c r="H106" s="10" t="str">
        <f aca="false">IF(A106="","",D106)</f>
        <v/>
      </c>
      <c r="I106" s="10" t="str">
        <f aca="false">IF(H106="","",IFERROR(INDEX($D$2:$D$201,MATCH(H106,$A$2:$A$201,0)),""))</f>
        <v/>
      </c>
      <c r="J106" s="10" t="str">
        <f aca="false">IF(I106="","",IFERROR(INDEX($D$2:$D$201,MATCH(I106,$A$2:$A$201,0)),""))</f>
        <v/>
      </c>
      <c r="K106" s="10" t="str">
        <f aca="false">IF(J106="","",IFERROR(INDEX($D$2:$D$201,MATCH(J106,$A$2:$A$201,0)),""))</f>
        <v/>
      </c>
      <c r="L106" s="10" t="str">
        <f aca="false">IF(K106="","",IFERROR(INDEX($D$2:$D$201,MATCH(K106,$A$2:$A$201,0)),""))</f>
        <v/>
      </c>
      <c r="M106" s="10" t="str">
        <f aca="false">IF(A106="","",IF(K106&lt;&gt;"",K106,IF(J106&lt;&gt;"",J106,IF(I106&lt;&gt;"",I106,IF(H106&lt;&gt;"",H106,A106)))))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10" t="str">
        <f aca="false">IF(A107="","",IF(K107&lt;&gt;"",IFERROR(IF(INDEX($E$2:$E$201,MATCH(K107,$A$2:$A$201,0))="",K107,INDEX($E$2:$E$201,MATCH(K107,$A$2:$A$201,0))),K107)&amp;"/","")&amp;IF(J107&lt;&gt;"",IFERROR(IF(INDEX($E$2:$E$201,MATCH(J107,$A$2:$A$201,0))="",J107,INDEX($E$2:$E$201,MATCH(J107,$A$2:$A$201,0))),J107)&amp;"/","")&amp;IF(I107&lt;&gt;"",IFERROR(IF(INDEX($E$2:$E$201,MATCH(I107,$A$2:$A$201,0))="",I107,INDEX($E$2:$E$201,MATCH(I107,$A$2:$A$201,0))),I107)&amp;"/","")&amp;IF(H107&lt;&gt;"",IFERROR(IF(INDEX($E$2:$E$201,MATCH(H107,$A$2:$A$201,0))="",H107,INDEX($E$2:$E$201,MATCH(H107,$A$2:$A$201,0))),H107)&amp;"/","")&amp;IF(E107="",A107,E107))</f>
        <v/>
      </c>
      <c r="G107" s="10" t="str">
        <f aca="false">IF(A107="","",IF(SUMPRODUCT(--EXACT($A$2:$A$201,A107))&gt;1,"Duplicate ID",IF(SUMPRODUCT(--EXACT('1 Types'!$A$2:$A$201,C107))=0,"Type is not on the Types sheet",IF(AND(D107&lt;&gt;"",NOT(SUMPRODUCT(--EXACT($A$2:$A$201,D107))&gt;0)),"Parent is not an asset",IF(AND(D107="",IFERROR(INDEX('1 Types'!$E$2:$E$201,MATCH(C107,'1 Types'!$A$2:$A$201,0)),"")&lt;&gt;"yes"),"Needs a parent",IF(OR(L107&lt;&gt;"",H107=A107,I107=A107,J107=A107,K107=A107),"Parent loop, or more than five levels","ok"))))))</f>
        <v/>
      </c>
      <c r="H107" s="10" t="str">
        <f aca="false">IF(A107="","",D107)</f>
        <v/>
      </c>
      <c r="I107" s="10" t="str">
        <f aca="false">IF(H107="","",IFERROR(INDEX($D$2:$D$201,MATCH(H107,$A$2:$A$201,0)),""))</f>
        <v/>
      </c>
      <c r="J107" s="10" t="str">
        <f aca="false">IF(I107="","",IFERROR(INDEX($D$2:$D$201,MATCH(I107,$A$2:$A$201,0)),""))</f>
        <v/>
      </c>
      <c r="K107" s="10" t="str">
        <f aca="false">IF(J107="","",IFERROR(INDEX($D$2:$D$201,MATCH(J107,$A$2:$A$201,0)),""))</f>
        <v/>
      </c>
      <c r="L107" s="10" t="str">
        <f aca="false">IF(K107="","",IFERROR(INDEX($D$2:$D$201,MATCH(K107,$A$2:$A$201,0)),""))</f>
        <v/>
      </c>
      <c r="M107" s="10" t="str">
        <f aca="false">IF(A107="","",IF(K107&lt;&gt;"",K107,IF(J107&lt;&gt;"",J107,IF(I107&lt;&gt;"",I107,IF(H107&lt;&gt;"",H107,A107)))))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10" t="str">
        <f aca="false">IF(A108="","",IF(K108&lt;&gt;"",IFERROR(IF(INDEX($E$2:$E$201,MATCH(K108,$A$2:$A$201,0))="",K108,INDEX($E$2:$E$201,MATCH(K108,$A$2:$A$201,0))),K108)&amp;"/","")&amp;IF(J108&lt;&gt;"",IFERROR(IF(INDEX($E$2:$E$201,MATCH(J108,$A$2:$A$201,0))="",J108,INDEX($E$2:$E$201,MATCH(J108,$A$2:$A$201,0))),J108)&amp;"/","")&amp;IF(I108&lt;&gt;"",IFERROR(IF(INDEX($E$2:$E$201,MATCH(I108,$A$2:$A$201,0))="",I108,INDEX($E$2:$E$201,MATCH(I108,$A$2:$A$201,0))),I108)&amp;"/","")&amp;IF(H108&lt;&gt;"",IFERROR(IF(INDEX($E$2:$E$201,MATCH(H108,$A$2:$A$201,0))="",H108,INDEX($E$2:$E$201,MATCH(H108,$A$2:$A$201,0))),H108)&amp;"/","")&amp;IF(E108="",A108,E108))</f>
        <v/>
      </c>
      <c r="G108" s="10" t="str">
        <f aca="false">IF(A108="","",IF(SUMPRODUCT(--EXACT($A$2:$A$201,A108))&gt;1,"Duplicate ID",IF(SUMPRODUCT(--EXACT('1 Types'!$A$2:$A$201,C108))=0,"Type is not on the Types sheet",IF(AND(D108&lt;&gt;"",NOT(SUMPRODUCT(--EXACT($A$2:$A$201,D108))&gt;0)),"Parent is not an asset",IF(AND(D108="",IFERROR(INDEX('1 Types'!$E$2:$E$201,MATCH(C108,'1 Types'!$A$2:$A$201,0)),"")&lt;&gt;"yes"),"Needs a parent",IF(OR(L108&lt;&gt;"",H108=A108,I108=A108,J108=A108,K108=A108),"Parent loop, or more than five levels","ok"))))))</f>
        <v/>
      </c>
      <c r="H108" s="10" t="str">
        <f aca="false">IF(A108="","",D108)</f>
        <v/>
      </c>
      <c r="I108" s="10" t="str">
        <f aca="false">IF(H108="","",IFERROR(INDEX($D$2:$D$201,MATCH(H108,$A$2:$A$201,0)),""))</f>
        <v/>
      </c>
      <c r="J108" s="10" t="str">
        <f aca="false">IF(I108="","",IFERROR(INDEX($D$2:$D$201,MATCH(I108,$A$2:$A$201,0)),""))</f>
        <v/>
      </c>
      <c r="K108" s="10" t="str">
        <f aca="false">IF(J108="","",IFERROR(INDEX($D$2:$D$201,MATCH(J108,$A$2:$A$201,0)),""))</f>
        <v/>
      </c>
      <c r="L108" s="10" t="str">
        <f aca="false">IF(K108="","",IFERROR(INDEX($D$2:$D$201,MATCH(K108,$A$2:$A$201,0)),""))</f>
        <v/>
      </c>
      <c r="M108" s="10" t="str">
        <f aca="false">IF(A108="","",IF(K108&lt;&gt;"",K108,IF(J108&lt;&gt;"",J108,IF(I108&lt;&gt;"",I108,IF(H108&lt;&gt;"",H108,A108)))))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10" t="str">
        <f aca="false">IF(A109="","",IF(K109&lt;&gt;"",IFERROR(IF(INDEX($E$2:$E$201,MATCH(K109,$A$2:$A$201,0))="",K109,INDEX($E$2:$E$201,MATCH(K109,$A$2:$A$201,0))),K109)&amp;"/","")&amp;IF(J109&lt;&gt;"",IFERROR(IF(INDEX($E$2:$E$201,MATCH(J109,$A$2:$A$201,0))="",J109,INDEX($E$2:$E$201,MATCH(J109,$A$2:$A$201,0))),J109)&amp;"/","")&amp;IF(I109&lt;&gt;"",IFERROR(IF(INDEX($E$2:$E$201,MATCH(I109,$A$2:$A$201,0))="",I109,INDEX($E$2:$E$201,MATCH(I109,$A$2:$A$201,0))),I109)&amp;"/","")&amp;IF(H109&lt;&gt;"",IFERROR(IF(INDEX($E$2:$E$201,MATCH(H109,$A$2:$A$201,0))="",H109,INDEX($E$2:$E$201,MATCH(H109,$A$2:$A$201,0))),H109)&amp;"/","")&amp;IF(E109="",A109,E109))</f>
        <v/>
      </c>
      <c r="G109" s="10" t="str">
        <f aca="false">IF(A109="","",IF(SUMPRODUCT(--EXACT($A$2:$A$201,A109))&gt;1,"Duplicate ID",IF(SUMPRODUCT(--EXACT('1 Types'!$A$2:$A$201,C109))=0,"Type is not on the Types sheet",IF(AND(D109&lt;&gt;"",NOT(SUMPRODUCT(--EXACT($A$2:$A$201,D109))&gt;0)),"Parent is not an asset",IF(AND(D109="",IFERROR(INDEX('1 Types'!$E$2:$E$201,MATCH(C109,'1 Types'!$A$2:$A$201,0)),"")&lt;&gt;"yes"),"Needs a parent",IF(OR(L109&lt;&gt;"",H109=A109,I109=A109,J109=A109,K109=A109),"Parent loop, or more than five levels","ok"))))))</f>
        <v/>
      </c>
      <c r="H109" s="10" t="str">
        <f aca="false">IF(A109="","",D109)</f>
        <v/>
      </c>
      <c r="I109" s="10" t="str">
        <f aca="false">IF(H109="","",IFERROR(INDEX($D$2:$D$201,MATCH(H109,$A$2:$A$201,0)),""))</f>
        <v/>
      </c>
      <c r="J109" s="10" t="str">
        <f aca="false">IF(I109="","",IFERROR(INDEX($D$2:$D$201,MATCH(I109,$A$2:$A$201,0)),""))</f>
        <v/>
      </c>
      <c r="K109" s="10" t="str">
        <f aca="false">IF(J109="","",IFERROR(INDEX($D$2:$D$201,MATCH(J109,$A$2:$A$201,0)),""))</f>
        <v/>
      </c>
      <c r="L109" s="10" t="str">
        <f aca="false">IF(K109="","",IFERROR(INDEX($D$2:$D$201,MATCH(K109,$A$2:$A$201,0)),""))</f>
        <v/>
      </c>
      <c r="M109" s="10" t="str">
        <f aca="false">IF(A109="","",IF(K109&lt;&gt;"",K109,IF(J109&lt;&gt;"",J109,IF(I109&lt;&gt;"",I109,IF(H109&lt;&gt;"",H109,A109)))))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10" t="str">
        <f aca="false">IF(A110="","",IF(K110&lt;&gt;"",IFERROR(IF(INDEX($E$2:$E$201,MATCH(K110,$A$2:$A$201,0))="",K110,INDEX($E$2:$E$201,MATCH(K110,$A$2:$A$201,0))),K110)&amp;"/","")&amp;IF(J110&lt;&gt;"",IFERROR(IF(INDEX($E$2:$E$201,MATCH(J110,$A$2:$A$201,0))="",J110,INDEX($E$2:$E$201,MATCH(J110,$A$2:$A$201,0))),J110)&amp;"/","")&amp;IF(I110&lt;&gt;"",IFERROR(IF(INDEX($E$2:$E$201,MATCH(I110,$A$2:$A$201,0))="",I110,INDEX($E$2:$E$201,MATCH(I110,$A$2:$A$201,0))),I110)&amp;"/","")&amp;IF(H110&lt;&gt;"",IFERROR(IF(INDEX($E$2:$E$201,MATCH(H110,$A$2:$A$201,0))="",H110,INDEX($E$2:$E$201,MATCH(H110,$A$2:$A$201,0))),H110)&amp;"/","")&amp;IF(E110="",A110,E110))</f>
        <v/>
      </c>
      <c r="G110" s="10" t="str">
        <f aca="false">IF(A110="","",IF(SUMPRODUCT(--EXACT($A$2:$A$201,A110))&gt;1,"Duplicate ID",IF(SUMPRODUCT(--EXACT('1 Types'!$A$2:$A$201,C110))=0,"Type is not on the Types sheet",IF(AND(D110&lt;&gt;"",NOT(SUMPRODUCT(--EXACT($A$2:$A$201,D110))&gt;0)),"Parent is not an asset",IF(AND(D110="",IFERROR(INDEX('1 Types'!$E$2:$E$201,MATCH(C110,'1 Types'!$A$2:$A$201,0)),"")&lt;&gt;"yes"),"Needs a parent",IF(OR(L110&lt;&gt;"",H110=A110,I110=A110,J110=A110,K110=A110),"Parent loop, or more than five levels","ok"))))))</f>
        <v/>
      </c>
      <c r="H110" s="10" t="str">
        <f aca="false">IF(A110="","",D110)</f>
        <v/>
      </c>
      <c r="I110" s="10" t="str">
        <f aca="false">IF(H110="","",IFERROR(INDEX($D$2:$D$201,MATCH(H110,$A$2:$A$201,0)),""))</f>
        <v/>
      </c>
      <c r="J110" s="10" t="str">
        <f aca="false">IF(I110="","",IFERROR(INDEX($D$2:$D$201,MATCH(I110,$A$2:$A$201,0)),""))</f>
        <v/>
      </c>
      <c r="K110" s="10" t="str">
        <f aca="false">IF(J110="","",IFERROR(INDEX($D$2:$D$201,MATCH(J110,$A$2:$A$201,0)),""))</f>
        <v/>
      </c>
      <c r="L110" s="10" t="str">
        <f aca="false">IF(K110="","",IFERROR(INDEX($D$2:$D$201,MATCH(K110,$A$2:$A$201,0)),""))</f>
        <v/>
      </c>
      <c r="M110" s="10" t="str">
        <f aca="false">IF(A110="","",IF(K110&lt;&gt;"",K110,IF(J110&lt;&gt;"",J110,IF(I110&lt;&gt;"",I110,IF(H110&lt;&gt;"",H110,A110)))))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10" t="str">
        <f aca="false">IF(A111="","",IF(K111&lt;&gt;"",IFERROR(IF(INDEX($E$2:$E$201,MATCH(K111,$A$2:$A$201,0))="",K111,INDEX($E$2:$E$201,MATCH(K111,$A$2:$A$201,0))),K111)&amp;"/","")&amp;IF(J111&lt;&gt;"",IFERROR(IF(INDEX($E$2:$E$201,MATCH(J111,$A$2:$A$201,0))="",J111,INDEX($E$2:$E$201,MATCH(J111,$A$2:$A$201,0))),J111)&amp;"/","")&amp;IF(I111&lt;&gt;"",IFERROR(IF(INDEX($E$2:$E$201,MATCH(I111,$A$2:$A$201,0))="",I111,INDEX($E$2:$E$201,MATCH(I111,$A$2:$A$201,0))),I111)&amp;"/","")&amp;IF(H111&lt;&gt;"",IFERROR(IF(INDEX($E$2:$E$201,MATCH(H111,$A$2:$A$201,0))="",H111,INDEX($E$2:$E$201,MATCH(H111,$A$2:$A$201,0))),H111)&amp;"/","")&amp;IF(E111="",A111,E111))</f>
        <v/>
      </c>
      <c r="G111" s="10" t="str">
        <f aca="false">IF(A111="","",IF(SUMPRODUCT(--EXACT($A$2:$A$201,A111))&gt;1,"Duplicate ID",IF(SUMPRODUCT(--EXACT('1 Types'!$A$2:$A$201,C111))=0,"Type is not on the Types sheet",IF(AND(D111&lt;&gt;"",NOT(SUMPRODUCT(--EXACT($A$2:$A$201,D111))&gt;0)),"Parent is not an asset",IF(AND(D111="",IFERROR(INDEX('1 Types'!$E$2:$E$201,MATCH(C111,'1 Types'!$A$2:$A$201,0)),"")&lt;&gt;"yes"),"Needs a parent",IF(OR(L111&lt;&gt;"",H111=A111,I111=A111,J111=A111,K111=A111),"Parent loop, or more than five levels","ok"))))))</f>
        <v/>
      </c>
      <c r="H111" s="10" t="str">
        <f aca="false">IF(A111="","",D111)</f>
        <v/>
      </c>
      <c r="I111" s="10" t="str">
        <f aca="false">IF(H111="","",IFERROR(INDEX($D$2:$D$201,MATCH(H111,$A$2:$A$201,0)),""))</f>
        <v/>
      </c>
      <c r="J111" s="10" t="str">
        <f aca="false">IF(I111="","",IFERROR(INDEX($D$2:$D$201,MATCH(I111,$A$2:$A$201,0)),""))</f>
        <v/>
      </c>
      <c r="K111" s="10" t="str">
        <f aca="false">IF(J111="","",IFERROR(INDEX($D$2:$D$201,MATCH(J111,$A$2:$A$201,0)),""))</f>
        <v/>
      </c>
      <c r="L111" s="10" t="str">
        <f aca="false">IF(K111="","",IFERROR(INDEX($D$2:$D$201,MATCH(K111,$A$2:$A$201,0)),""))</f>
        <v/>
      </c>
      <c r="M111" s="10" t="str">
        <f aca="false">IF(A111="","",IF(K111&lt;&gt;"",K111,IF(J111&lt;&gt;"",J111,IF(I111&lt;&gt;"",I111,IF(H111&lt;&gt;"",H111,A111)))))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10" t="str">
        <f aca="false">IF(A112="","",IF(K112&lt;&gt;"",IFERROR(IF(INDEX($E$2:$E$201,MATCH(K112,$A$2:$A$201,0))="",K112,INDEX($E$2:$E$201,MATCH(K112,$A$2:$A$201,0))),K112)&amp;"/","")&amp;IF(J112&lt;&gt;"",IFERROR(IF(INDEX($E$2:$E$201,MATCH(J112,$A$2:$A$201,0))="",J112,INDEX($E$2:$E$201,MATCH(J112,$A$2:$A$201,0))),J112)&amp;"/","")&amp;IF(I112&lt;&gt;"",IFERROR(IF(INDEX($E$2:$E$201,MATCH(I112,$A$2:$A$201,0))="",I112,INDEX($E$2:$E$201,MATCH(I112,$A$2:$A$201,0))),I112)&amp;"/","")&amp;IF(H112&lt;&gt;"",IFERROR(IF(INDEX($E$2:$E$201,MATCH(H112,$A$2:$A$201,0))="",H112,INDEX($E$2:$E$201,MATCH(H112,$A$2:$A$201,0))),H112)&amp;"/","")&amp;IF(E112="",A112,E112))</f>
        <v/>
      </c>
      <c r="G112" s="10" t="str">
        <f aca="false">IF(A112="","",IF(SUMPRODUCT(--EXACT($A$2:$A$201,A112))&gt;1,"Duplicate ID",IF(SUMPRODUCT(--EXACT('1 Types'!$A$2:$A$201,C112))=0,"Type is not on the Types sheet",IF(AND(D112&lt;&gt;"",NOT(SUMPRODUCT(--EXACT($A$2:$A$201,D112))&gt;0)),"Parent is not an asset",IF(AND(D112="",IFERROR(INDEX('1 Types'!$E$2:$E$201,MATCH(C112,'1 Types'!$A$2:$A$201,0)),"")&lt;&gt;"yes"),"Needs a parent",IF(OR(L112&lt;&gt;"",H112=A112,I112=A112,J112=A112,K112=A112),"Parent loop, or more than five levels","ok"))))))</f>
        <v/>
      </c>
      <c r="H112" s="10" t="str">
        <f aca="false">IF(A112="","",D112)</f>
        <v/>
      </c>
      <c r="I112" s="10" t="str">
        <f aca="false">IF(H112="","",IFERROR(INDEX($D$2:$D$201,MATCH(H112,$A$2:$A$201,0)),""))</f>
        <v/>
      </c>
      <c r="J112" s="10" t="str">
        <f aca="false">IF(I112="","",IFERROR(INDEX($D$2:$D$201,MATCH(I112,$A$2:$A$201,0)),""))</f>
        <v/>
      </c>
      <c r="K112" s="10" t="str">
        <f aca="false">IF(J112="","",IFERROR(INDEX($D$2:$D$201,MATCH(J112,$A$2:$A$201,0)),""))</f>
        <v/>
      </c>
      <c r="L112" s="10" t="str">
        <f aca="false">IF(K112="","",IFERROR(INDEX($D$2:$D$201,MATCH(K112,$A$2:$A$201,0)),""))</f>
        <v/>
      </c>
      <c r="M112" s="10" t="str">
        <f aca="false">IF(A112="","",IF(K112&lt;&gt;"",K112,IF(J112&lt;&gt;"",J112,IF(I112&lt;&gt;"",I112,IF(H112&lt;&gt;"",H112,A112)))))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10" t="str">
        <f aca="false">IF(A113="","",IF(K113&lt;&gt;"",IFERROR(IF(INDEX($E$2:$E$201,MATCH(K113,$A$2:$A$201,0))="",K113,INDEX($E$2:$E$201,MATCH(K113,$A$2:$A$201,0))),K113)&amp;"/","")&amp;IF(J113&lt;&gt;"",IFERROR(IF(INDEX($E$2:$E$201,MATCH(J113,$A$2:$A$201,0))="",J113,INDEX($E$2:$E$201,MATCH(J113,$A$2:$A$201,0))),J113)&amp;"/","")&amp;IF(I113&lt;&gt;"",IFERROR(IF(INDEX($E$2:$E$201,MATCH(I113,$A$2:$A$201,0))="",I113,INDEX($E$2:$E$201,MATCH(I113,$A$2:$A$201,0))),I113)&amp;"/","")&amp;IF(H113&lt;&gt;"",IFERROR(IF(INDEX($E$2:$E$201,MATCH(H113,$A$2:$A$201,0))="",H113,INDEX($E$2:$E$201,MATCH(H113,$A$2:$A$201,0))),H113)&amp;"/","")&amp;IF(E113="",A113,E113))</f>
        <v/>
      </c>
      <c r="G113" s="10" t="str">
        <f aca="false">IF(A113="","",IF(SUMPRODUCT(--EXACT($A$2:$A$201,A113))&gt;1,"Duplicate ID",IF(SUMPRODUCT(--EXACT('1 Types'!$A$2:$A$201,C113))=0,"Type is not on the Types sheet",IF(AND(D113&lt;&gt;"",NOT(SUMPRODUCT(--EXACT($A$2:$A$201,D113))&gt;0)),"Parent is not an asset",IF(AND(D113="",IFERROR(INDEX('1 Types'!$E$2:$E$201,MATCH(C113,'1 Types'!$A$2:$A$201,0)),"")&lt;&gt;"yes"),"Needs a parent",IF(OR(L113&lt;&gt;"",H113=A113,I113=A113,J113=A113,K113=A113),"Parent loop, or more than five levels","ok"))))))</f>
        <v/>
      </c>
      <c r="H113" s="10" t="str">
        <f aca="false">IF(A113="","",D113)</f>
        <v/>
      </c>
      <c r="I113" s="10" t="str">
        <f aca="false">IF(H113="","",IFERROR(INDEX($D$2:$D$201,MATCH(H113,$A$2:$A$201,0)),""))</f>
        <v/>
      </c>
      <c r="J113" s="10" t="str">
        <f aca="false">IF(I113="","",IFERROR(INDEX($D$2:$D$201,MATCH(I113,$A$2:$A$201,0)),""))</f>
        <v/>
      </c>
      <c r="K113" s="10" t="str">
        <f aca="false">IF(J113="","",IFERROR(INDEX($D$2:$D$201,MATCH(J113,$A$2:$A$201,0)),""))</f>
        <v/>
      </c>
      <c r="L113" s="10" t="str">
        <f aca="false">IF(K113="","",IFERROR(INDEX($D$2:$D$201,MATCH(K113,$A$2:$A$201,0)),""))</f>
        <v/>
      </c>
      <c r="M113" s="10" t="str">
        <f aca="false">IF(A113="","",IF(K113&lt;&gt;"",K113,IF(J113&lt;&gt;"",J113,IF(I113&lt;&gt;"",I113,IF(H113&lt;&gt;"",H113,A113)))))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10" t="str">
        <f aca="false">IF(A114="","",IF(K114&lt;&gt;"",IFERROR(IF(INDEX($E$2:$E$201,MATCH(K114,$A$2:$A$201,0))="",K114,INDEX($E$2:$E$201,MATCH(K114,$A$2:$A$201,0))),K114)&amp;"/","")&amp;IF(J114&lt;&gt;"",IFERROR(IF(INDEX($E$2:$E$201,MATCH(J114,$A$2:$A$201,0))="",J114,INDEX($E$2:$E$201,MATCH(J114,$A$2:$A$201,0))),J114)&amp;"/","")&amp;IF(I114&lt;&gt;"",IFERROR(IF(INDEX($E$2:$E$201,MATCH(I114,$A$2:$A$201,0))="",I114,INDEX($E$2:$E$201,MATCH(I114,$A$2:$A$201,0))),I114)&amp;"/","")&amp;IF(H114&lt;&gt;"",IFERROR(IF(INDEX($E$2:$E$201,MATCH(H114,$A$2:$A$201,0))="",H114,INDEX($E$2:$E$201,MATCH(H114,$A$2:$A$201,0))),H114)&amp;"/","")&amp;IF(E114="",A114,E114))</f>
        <v/>
      </c>
      <c r="G114" s="10" t="str">
        <f aca="false">IF(A114="","",IF(SUMPRODUCT(--EXACT($A$2:$A$201,A114))&gt;1,"Duplicate ID",IF(SUMPRODUCT(--EXACT('1 Types'!$A$2:$A$201,C114))=0,"Type is not on the Types sheet",IF(AND(D114&lt;&gt;"",NOT(SUMPRODUCT(--EXACT($A$2:$A$201,D114))&gt;0)),"Parent is not an asset",IF(AND(D114="",IFERROR(INDEX('1 Types'!$E$2:$E$201,MATCH(C114,'1 Types'!$A$2:$A$201,0)),"")&lt;&gt;"yes"),"Needs a parent",IF(OR(L114&lt;&gt;"",H114=A114,I114=A114,J114=A114,K114=A114),"Parent loop, or more than five levels","ok"))))))</f>
        <v/>
      </c>
      <c r="H114" s="10" t="str">
        <f aca="false">IF(A114="","",D114)</f>
        <v/>
      </c>
      <c r="I114" s="10" t="str">
        <f aca="false">IF(H114="","",IFERROR(INDEX($D$2:$D$201,MATCH(H114,$A$2:$A$201,0)),""))</f>
        <v/>
      </c>
      <c r="J114" s="10" t="str">
        <f aca="false">IF(I114="","",IFERROR(INDEX($D$2:$D$201,MATCH(I114,$A$2:$A$201,0)),""))</f>
        <v/>
      </c>
      <c r="K114" s="10" t="str">
        <f aca="false">IF(J114="","",IFERROR(INDEX($D$2:$D$201,MATCH(J114,$A$2:$A$201,0)),""))</f>
        <v/>
      </c>
      <c r="L114" s="10" t="str">
        <f aca="false">IF(K114="","",IFERROR(INDEX($D$2:$D$201,MATCH(K114,$A$2:$A$201,0)),""))</f>
        <v/>
      </c>
      <c r="M114" s="10" t="str">
        <f aca="false">IF(A114="","",IF(K114&lt;&gt;"",K114,IF(J114&lt;&gt;"",J114,IF(I114&lt;&gt;"",I114,IF(H114&lt;&gt;"",H114,A114)))))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10" t="str">
        <f aca="false">IF(A115="","",IF(K115&lt;&gt;"",IFERROR(IF(INDEX($E$2:$E$201,MATCH(K115,$A$2:$A$201,0))="",K115,INDEX($E$2:$E$201,MATCH(K115,$A$2:$A$201,0))),K115)&amp;"/","")&amp;IF(J115&lt;&gt;"",IFERROR(IF(INDEX($E$2:$E$201,MATCH(J115,$A$2:$A$201,0))="",J115,INDEX($E$2:$E$201,MATCH(J115,$A$2:$A$201,0))),J115)&amp;"/","")&amp;IF(I115&lt;&gt;"",IFERROR(IF(INDEX($E$2:$E$201,MATCH(I115,$A$2:$A$201,0))="",I115,INDEX($E$2:$E$201,MATCH(I115,$A$2:$A$201,0))),I115)&amp;"/","")&amp;IF(H115&lt;&gt;"",IFERROR(IF(INDEX($E$2:$E$201,MATCH(H115,$A$2:$A$201,0))="",H115,INDEX($E$2:$E$201,MATCH(H115,$A$2:$A$201,0))),H115)&amp;"/","")&amp;IF(E115="",A115,E115))</f>
        <v/>
      </c>
      <c r="G115" s="10" t="str">
        <f aca="false">IF(A115="","",IF(SUMPRODUCT(--EXACT($A$2:$A$201,A115))&gt;1,"Duplicate ID",IF(SUMPRODUCT(--EXACT('1 Types'!$A$2:$A$201,C115))=0,"Type is not on the Types sheet",IF(AND(D115&lt;&gt;"",NOT(SUMPRODUCT(--EXACT($A$2:$A$201,D115))&gt;0)),"Parent is not an asset",IF(AND(D115="",IFERROR(INDEX('1 Types'!$E$2:$E$201,MATCH(C115,'1 Types'!$A$2:$A$201,0)),"")&lt;&gt;"yes"),"Needs a parent",IF(OR(L115&lt;&gt;"",H115=A115,I115=A115,J115=A115,K115=A115),"Parent loop, or more than five levels","ok"))))))</f>
        <v/>
      </c>
      <c r="H115" s="10" t="str">
        <f aca="false">IF(A115="","",D115)</f>
        <v/>
      </c>
      <c r="I115" s="10" t="str">
        <f aca="false">IF(H115="","",IFERROR(INDEX($D$2:$D$201,MATCH(H115,$A$2:$A$201,0)),""))</f>
        <v/>
      </c>
      <c r="J115" s="10" t="str">
        <f aca="false">IF(I115="","",IFERROR(INDEX($D$2:$D$201,MATCH(I115,$A$2:$A$201,0)),""))</f>
        <v/>
      </c>
      <c r="K115" s="10" t="str">
        <f aca="false">IF(J115="","",IFERROR(INDEX($D$2:$D$201,MATCH(J115,$A$2:$A$201,0)),""))</f>
        <v/>
      </c>
      <c r="L115" s="10" t="str">
        <f aca="false">IF(K115="","",IFERROR(INDEX($D$2:$D$201,MATCH(K115,$A$2:$A$201,0)),""))</f>
        <v/>
      </c>
      <c r="M115" s="10" t="str">
        <f aca="false">IF(A115="","",IF(K115&lt;&gt;"",K115,IF(J115&lt;&gt;"",J115,IF(I115&lt;&gt;"",I115,IF(H115&lt;&gt;"",H115,A115)))))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10" t="str">
        <f aca="false">IF(A116="","",IF(K116&lt;&gt;"",IFERROR(IF(INDEX($E$2:$E$201,MATCH(K116,$A$2:$A$201,0))="",K116,INDEX($E$2:$E$201,MATCH(K116,$A$2:$A$201,0))),K116)&amp;"/","")&amp;IF(J116&lt;&gt;"",IFERROR(IF(INDEX($E$2:$E$201,MATCH(J116,$A$2:$A$201,0))="",J116,INDEX($E$2:$E$201,MATCH(J116,$A$2:$A$201,0))),J116)&amp;"/","")&amp;IF(I116&lt;&gt;"",IFERROR(IF(INDEX($E$2:$E$201,MATCH(I116,$A$2:$A$201,0))="",I116,INDEX($E$2:$E$201,MATCH(I116,$A$2:$A$201,0))),I116)&amp;"/","")&amp;IF(H116&lt;&gt;"",IFERROR(IF(INDEX($E$2:$E$201,MATCH(H116,$A$2:$A$201,0))="",H116,INDEX($E$2:$E$201,MATCH(H116,$A$2:$A$201,0))),H116)&amp;"/","")&amp;IF(E116="",A116,E116))</f>
        <v/>
      </c>
      <c r="G116" s="10" t="str">
        <f aca="false">IF(A116="","",IF(SUMPRODUCT(--EXACT($A$2:$A$201,A116))&gt;1,"Duplicate ID",IF(SUMPRODUCT(--EXACT('1 Types'!$A$2:$A$201,C116))=0,"Type is not on the Types sheet",IF(AND(D116&lt;&gt;"",NOT(SUMPRODUCT(--EXACT($A$2:$A$201,D116))&gt;0)),"Parent is not an asset",IF(AND(D116="",IFERROR(INDEX('1 Types'!$E$2:$E$201,MATCH(C116,'1 Types'!$A$2:$A$201,0)),"")&lt;&gt;"yes"),"Needs a parent",IF(OR(L116&lt;&gt;"",H116=A116,I116=A116,J116=A116,K116=A116),"Parent loop, or more than five levels","ok"))))))</f>
        <v/>
      </c>
      <c r="H116" s="10" t="str">
        <f aca="false">IF(A116="","",D116)</f>
        <v/>
      </c>
      <c r="I116" s="10" t="str">
        <f aca="false">IF(H116="","",IFERROR(INDEX($D$2:$D$201,MATCH(H116,$A$2:$A$201,0)),""))</f>
        <v/>
      </c>
      <c r="J116" s="10" t="str">
        <f aca="false">IF(I116="","",IFERROR(INDEX($D$2:$D$201,MATCH(I116,$A$2:$A$201,0)),""))</f>
        <v/>
      </c>
      <c r="K116" s="10" t="str">
        <f aca="false">IF(J116="","",IFERROR(INDEX($D$2:$D$201,MATCH(J116,$A$2:$A$201,0)),""))</f>
        <v/>
      </c>
      <c r="L116" s="10" t="str">
        <f aca="false">IF(K116="","",IFERROR(INDEX($D$2:$D$201,MATCH(K116,$A$2:$A$201,0)),""))</f>
        <v/>
      </c>
      <c r="M116" s="10" t="str">
        <f aca="false">IF(A116="","",IF(K116&lt;&gt;"",K116,IF(J116&lt;&gt;"",J116,IF(I116&lt;&gt;"",I116,IF(H116&lt;&gt;"",H116,A116)))))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10" t="str">
        <f aca="false">IF(A117="","",IF(K117&lt;&gt;"",IFERROR(IF(INDEX($E$2:$E$201,MATCH(K117,$A$2:$A$201,0))="",K117,INDEX($E$2:$E$201,MATCH(K117,$A$2:$A$201,0))),K117)&amp;"/","")&amp;IF(J117&lt;&gt;"",IFERROR(IF(INDEX($E$2:$E$201,MATCH(J117,$A$2:$A$201,0))="",J117,INDEX($E$2:$E$201,MATCH(J117,$A$2:$A$201,0))),J117)&amp;"/","")&amp;IF(I117&lt;&gt;"",IFERROR(IF(INDEX($E$2:$E$201,MATCH(I117,$A$2:$A$201,0))="",I117,INDEX($E$2:$E$201,MATCH(I117,$A$2:$A$201,0))),I117)&amp;"/","")&amp;IF(H117&lt;&gt;"",IFERROR(IF(INDEX($E$2:$E$201,MATCH(H117,$A$2:$A$201,0))="",H117,INDEX($E$2:$E$201,MATCH(H117,$A$2:$A$201,0))),H117)&amp;"/","")&amp;IF(E117="",A117,E117))</f>
        <v/>
      </c>
      <c r="G117" s="10" t="str">
        <f aca="false">IF(A117="","",IF(SUMPRODUCT(--EXACT($A$2:$A$201,A117))&gt;1,"Duplicate ID",IF(SUMPRODUCT(--EXACT('1 Types'!$A$2:$A$201,C117))=0,"Type is not on the Types sheet",IF(AND(D117&lt;&gt;"",NOT(SUMPRODUCT(--EXACT($A$2:$A$201,D117))&gt;0)),"Parent is not an asset",IF(AND(D117="",IFERROR(INDEX('1 Types'!$E$2:$E$201,MATCH(C117,'1 Types'!$A$2:$A$201,0)),"")&lt;&gt;"yes"),"Needs a parent",IF(OR(L117&lt;&gt;"",H117=A117,I117=A117,J117=A117,K117=A117),"Parent loop, or more than five levels","ok"))))))</f>
        <v/>
      </c>
      <c r="H117" s="10" t="str">
        <f aca="false">IF(A117="","",D117)</f>
        <v/>
      </c>
      <c r="I117" s="10" t="str">
        <f aca="false">IF(H117="","",IFERROR(INDEX($D$2:$D$201,MATCH(H117,$A$2:$A$201,0)),""))</f>
        <v/>
      </c>
      <c r="J117" s="10" t="str">
        <f aca="false">IF(I117="","",IFERROR(INDEX($D$2:$D$201,MATCH(I117,$A$2:$A$201,0)),""))</f>
        <v/>
      </c>
      <c r="K117" s="10" t="str">
        <f aca="false">IF(J117="","",IFERROR(INDEX($D$2:$D$201,MATCH(J117,$A$2:$A$201,0)),""))</f>
        <v/>
      </c>
      <c r="L117" s="10" t="str">
        <f aca="false">IF(K117="","",IFERROR(INDEX($D$2:$D$201,MATCH(K117,$A$2:$A$201,0)),""))</f>
        <v/>
      </c>
      <c r="M117" s="10" t="str">
        <f aca="false">IF(A117="","",IF(K117&lt;&gt;"",K117,IF(J117&lt;&gt;"",J117,IF(I117&lt;&gt;"",I117,IF(H117&lt;&gt;"",H117,A117)))))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10" t="str">
        <f aca="false">IF(A118="","",IF(K118&lt;&gt;"",IFERROR(IF(INDEX($E$2:$E$201,MATCH(K118,$A$2:$A$201,0))="",K118,INDEX($E$2:$E$201,MATCH(K118,$A$2:$A$201,0))),K118)&amp;"/","")&amp;IF(J118&lt;&gt;"",IFERROR(IF(INDEX($E$2:$E$201,MATCH(J118,$A$2:$A$201,0))="",J118,INDEX($E$2:$E$201,MATCH(J118,$A$2:$A$201,0))),J118)&amp;"/","")&amp;IF(I118&lt;&gt;"",IFERROR(IF(INDEX($E$2:$E$201,MATCH(I118,$A$2:$A$201,0))="",I118,INDEX($E$2:$E$201,MATCH(I118,$A$2:$A$201,0))),I118)&amp;"/","")&amp;IF(H118&lt;&gt;"",IFERROR(IF(INDEX($E$2:$E$201,MATCH(H118,$A$2:$A$201,0))="",H118,INDEX($E$2:$E$201,MATCH(H118,$A$2:$A$201,0))),H118)&amp;"/","")&amp;IF(E118="",A118,E118))</f>
        <v/>
      </c>
      <c r="G118" s="10" t="str">
        <f aca="false">IF(A118="","",IF(SUMPRODUCT(--EXACT($A$2:$A$201,A118))&gt;1,"Duplicate ID",IF(SUMPRODUCT(--EXACT('1 Types'!$A$2:$A$201,C118))=0,"Type is not on the Types sheet",IF(AND(D118&lt;&gt;"",NOT(SUMPRODUCT(--EXACT($A$2:$A$201,D118))&gt;0)),"Parent is not an asset",IF(AND(D118="",IFERROR(INDEX('1 Types'!$E$2:$E$201,MATCH(C118,'1 Types'!$A$2:$A$201,0)),"")&lt;&gt;"yes"),"Needs a parent",IF(OR(L118&lt;&gt;"",H118=A118,I118=A118,J118=A118,K118=A118),"Parent loop, or more than five levels","ok"))))))</f>
        <v/>
      </c>
      <c r="H118" s="10" t="str">
        <f aca="false">IF(A118="","",D118)</f>
        <v/>
      </c>
      <c r="I118" s="10" t="str">
        <f aca="false">IF(H118="","",IFERROR(INDEX($D$2:$D$201,MATCH(H118,$A$2:$A$201,0)),""))</f>
        <v/>
      </c>
      <c r="J118" s="10" t="str">
        <f aca="false">IF(I118="","",IFERROR(INDEX($D$2:$D$201,MATCH(I118,$A$2:$A$201,0)),""))</f>
        <v/>
      </c>
      <c r="K118" s="10" t="str">
        <f aca="false">IF(J118="","",IFERROR(INDEX($D$2:$D$201,MATCH(J118,$A$2:$A$201,0)),""))</f>
        <v/>
      </c>
      <c r="L118" s="10" t="str">
        <f aca="false">IF(K118="","",IFERROR(INDEX($D$2:$D$201,MATCH(K118,$A$2:$A$201,0)),""))</f>
        <v/>
      </c>
      <c r="M118" s="10" t="str">
        <f aca="false">IF(A118="","",IF(K118&lt;&gt;"",K118,IF(J118&lt;&gt;"",J118,IF(I118&lt;&gt;"",I118,IF(H118&lt;&gt;"",H118,A118)))))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10" t="str">
        <f aca="false">IF(A119="","",IF(K119&lt;&gt;"",IFERROR(IF(INDEX($E$2:$E$201,MATCH(K119,$A$2:$A$201,0))="",K119,INDEX($E$2:$E$201,MATCH(K119,$A$2:$A$201,0))),K119)&amp;"/","")&amp;IF(J119&lt;&gt;"",IFERROR(IF(INDEX($E$2:$E$201,MATCH(J119,$A$2:$A$201,0))="",J119,INDEX($E$2:$E$201,MATCH(J119,$A$2:$A$201,0))),J119)&amp;"/","")&amp;IF(I119&lt;&gt;"",IFERROR(IF(INDEX($E$2:$E$201,MATCH(I119,$A$2:$A$201,0))="",I119,INDEX($E$2:$E$201,MATCH(I119,$A$2:$A$201,0))),I119)&amp;"/","")&amp;IF(H119&lt;&gt;"",IFERROR(IF(INDEX($E$2:$E$201,MATCH(H119,$A$2:$A$201,0))="",H119,INDEX($E$2:$E$201,MATCH(H119,$A$2:$A$201,0))),H119)&amp;"/","")&amp;IF(E119="",A119,E119))</f>
        <v/>
      </c>
      <c r="G119" s="10" t="str">
        <f aca="false">IF(A119="","",IF(SUMPRODUCT(--EXACT($A$2:$A$201,A119))&gt;1,"Duplicate ID",IF(SUMPRODUCT(--EXACT('1 Types'!$A$2:$A$201,C119))=0,"Type is not on the Types sheet",IF(AND(D119&lt;&gt;"",NOT(SUMPRODUCT(--EXACT($A$2:$A$201,D119))&gt;0)),"Parent is not an asset",IF(AND(D119="",IFERROR(INDEX('1 Types'!$E$2:$E$201,MATCH(C119,'1 Types'!$A$2:$A$201,0)),"")&lt;&gt;"yes"),"Needs a parent",IF(OR(L119&lt;&gt;"",H119=A119,I119=A119,J119=A119,K119=A119),"Parent loop, or more than five levels","ok"))))))</f>
        <v/>
      </c>
      <c r="H119" s="10" t="str">
        <f aca="false">IF(A119="","",D119)</f>
        <v/>
      </c>
      <c r="I119" s="10" t="str">
        <f aca="false">IF(H119="","",IFERROR(INDEX($D$2:$D$201,MATCH(H119,$A$2:$A$201,0)),""))</f>
        <v/>
      </c>
      <c r="J119" s="10" t="str">
        <f aca="false">IF(I119="","",IFERROR(INDEX($D$2:$D$201,MATCH(I119,$A$2:$A$201,0)),""))</f>
        <v/>
      </c>
      <c r="K119" s="10" t="str">
        <f aca="false">IF(J119="","",IFERROR(INDEX($D$2:$D$201,MATCH(J119,$A$2:$A$201,0)),""))</f>
        <v/>
      </c>
      <c r="L119" s="10" t="str">
        <f aca="false">IF(K119="","",IFERROR(INDEX($D$2:$D$201,MATCH(K119,$A$2:$A$201,0)),""))</f>
        <v/>
      </c>
      <c r="M119" s="10" t="str">
        <f aca="false">IF(A119="","",IF(K119&lt;&gt;"",K119,IF(J119&lt;&gt;"",J119,IF(I119&lt;&gt;"",I119,IF(H119&lt;&gt;"",H119,A119)))))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10" t="str">
        <f aca="false">IF(A120="","",IF(K120&lt;&gt;"",IFERROR(IF(INDEX($E$2:$E$201,MATCH(K120,$A$2:$A$201,0))="",K120,INDEX($E$2:$E$201,MATCH(K120,$A$2:$A$201,0))),K120)&amp;"/","")&amp;IF(J120&lt;&gt;"",IFERROR(IF(INDEX($E$2:$E$201,MATCH(J120,$A$2:$A$201,0))="",J120,INDEX($E$2:$E$201,MATCH(J120,$A$2:$A$201,0))),J120)&amp;"/","")&amp;IF(I120&lt;&gt;"",IFERROR(IF(INDEX($E$2:$E$201,MATCH(I120,$A$2:$A$201,0))="",I120,INDEX($E$2:$E$201,MATCH(I120,$A$2:$A$201,0))),I120)&amp;"/","")&amp;IF(H120&lt;&gt;"",IFERROR(IF(INDEX($E$2:$E$201,MATCH(H120,$A$2:$A$201,0))="",H120,INDEX($E$2:$E$201,MATCH(H120,$A$2:$A$201,0))),H120)&amp;"/","")&amp;IF(E120="",A120,E120))</f>
        <v/>
      </c>
      <c r="G120" s="10" t="str">
        <f aca="false">IF(A120="","",IF(SUMPRODUCT(--EXACT($A$2:$A$201,A120))&gt;1,"Duplicate ID",IF(SUMPRODUCT(--EXACT('1 Types'!$A$2:$A$201,C120))=0,"Type is not on the Types sheet",IF(AND(D120&lt;&gt;"",NOT(SUMPRODUCT(--EXACT($A$2:$A$201,D120))&gt;0)),"Parent is not an asset",IF(AND(D120="",IFERROR(INDEX('1 Types'!$E$2:$E$201,MATCH(C120,'1 Types'!$A$2:$A$201,0)),"")&lt;&gt;"yes"),"Needs a parent",IF(OR(L120&lt;&gt;"",H120=A120,I120=A120,J120=A120,K120=A120),"Parent loop, or more than five levels","ok"))))))</f>
        <v/>
      </c>
      <c r="H120" s="10" t="str">
        <f aca="false">IF(A120="","",D120)</f>
        <v/>
      </c>
      <c r="I120" s="10" t="str">
        <f aca="false">IF(H120="","",IFERROR(INDEX($D$2:$D$201,MATCH(H120,$A$2:$A$201,0)),""))</f>
        <v/>
      </c>
      <c r="J120" s="10" t="str">
        <f aca="false">IF(I120="","",IFERROR(INDEX($D$2:$D$201,MATCH(I120,$A$2:$A$201,0)),""))</f>
        <v/>
      </c>
      <c r="K120" s="10" t="str">
        <f aca="false">IF(J120="","",IFERROR(INDEX($D$2:$D$201,MATCH(J120,$A$2:$A$201,0)),""))</f>
        <v/>
      </c>
      <c r="L120" s="10" t="str">
        <f aca="false">IF(K120="","",IFERROR(INDEX($D$2:$D$201,MATCH(K120,$A$2:$A$201,0)),""))</f>
        <v/>
      </c>
      <c r="M120" s="10" t="str">
        <f aca="false">IF(A120="","",IF(K120&lt;&gt;"",K120,IF(J120&lt;&gt;"",J120,IF(I120&lt;&gt;"",I120,IF(H120&lt;&gt;"",H120,A120)))))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10" t="str">
        <f aca="false">IF(A121="","",IF(K121&lt;&gt;"",IFERROR(IF(INDEX($E$2:$E$201,MATCH(K121,$A$2:$A$201,0))="",K121,INDEX($E$2:$E$201,MATCH(K121,$A$2:$A$201,0))),K121)&amp;"/","")&amp;IF(J121&lt;&gt;"",IFERROR(IF(INDEX($E$2:$E$201,MATCH(J121,$A$2:$A$201,0))="",J121,INDEX($E$2:$E$201,MATCH(J121,$A$2:$A$201,0))),J121)&amp;"/","")&amp;IF(I121&lt;&gt;"",IFERROR(IF(INDEX($E$2:$E$201,MATCH(I121,$A$2:$A$201,0))="",I121,INDEX($E$2:$E$201,MATCH(I121,$A$2:$A$201,0))),I121)&amp;"/","")&amp;IF(H121&lt;&gt;"",IFERROR(IF(INDEX($E$2:$E$201,MATCH(H121,$A$2:$A$201,0))="",H121,INDEX($E$2:$E$201,MATCH(H121,$A$2:$A$201,0))),H121)&amp;"/","")&amp;IF(E121="",A121,E121))</f>
        <v/>
      </c>
      <c r="G121" s="10" t="str">
        <f aca="false">IF(A121="","",IF(SUMPRODUCT(--EXACT($A$2:$A$201,A121))&gt;1,"Duplicate ID",IF(SUMPRODUCT(--EXACT('1 Types'!$A$2:$A$201,C121))=0,"Type is not on the Types sheet",IF(AND(D121&lt;&gt;"",NOT(SUMPRODUCT(--EXACT($A$2:$A$201,D121))&gt;0)),"Parent is not an asset",IF(AND(D121="",IFERROR(INDEX('1 Types'!$E$2:$E$201,MATCH(C121,'1 Types'!$A$2:$A$201,0)),"")&lt;&gt;"yes"),"Needs a parent",IF(OR(L121&lt;&gt;"",H121=A121,I121=A121,J121=A121,K121=A121),"Parent loop, or more than five levels","ok"))))))</f>
        <v/>
      </c>
      <c r="H121" s="10" t="str">
        <f aca="false">IF(A121="","",D121)</f>
        <v/>
      </c>
      <c r="I121" s="10" t="str">
        <f aca="false">IF(H121="","",IFERROR(INDEX($D$2:$D$201,MATCH(H121,$A$2:$A$201,0)),""))</f>
        <v/>
      </c>
      <c r="J121" s="10" t="str">
        <f aca="false">IF(I121="","",IFERROR(INDEX($D$2:$D$201,MATCH(I121,$A$2:$A$201,0)),""))</f>
        <v/>
      </c>
      <c r="K121" s="10" t="str">
        <f aca="false">IF(J121="","",IFERROR(INDEX($D$2:$D$201,MATCH(J121,$A$2:$A$201,0)),""))</f>
        <v/>
      </c>
      <c r="L121" s="10" t="str">
        <f aca="false">IF(K121="","",IFERROR(INDEX($D$2:$D$201,MATCH(K121,$A$2:$A$201,0)),""))</f>
        <v/>
      </c>
      <c r="M121" s="10" t="str">
        <f aca="false">IF(A121="","",IF(K121&lt;&gt;"",K121,IF(J121&lt;&gt;"",J121,IF(I121&lt;&gt;"",I121,IF(H121&lt;&gt;"",H121,A121)))))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10" t="str">
        <f aca="false">IF(A122="","",IF(K122&lt;&gt;"",IFERROR(IF(INDEX($E$2:$E$201,MATCH(K122,$A$2:$A$201,0))="",K122,INDEX($E$2:$E$201,MATCH(K122,$A$2:$A$201,0))),K122)&amp;"/","")&amp;IF(J122&lt;&gt;"",IFERROR(IF(INDEX($E$2:$E$201,MATCH(J122,$A$2:$A$201,0))="",J122,INDEX($E$2:$E$201,MATCH(J122,$A$2:$A$201,0))),J122)&amp;"/","")&amp;IF(I122&lt;&gt;"",IFERROR(IF(INDEX($E$2:$E$201,MATCH(I122,$A$2:$A$201,0))="",I122,INDEX($E$2:$E$201,MATCH(I122,$A$2:$A$201,0))),I122)&amp;"/","")&amp;IF(H122&lt;&gt;"",IFERROR(IF(INDEX($E$2:$E$201,MATCH(H122,$A$2:$A$201,0))="",H122,INDEX($E$2:$E$201,MATCH(H122,$A$2:$A$201,0))),H122)&amp;"/","")&amp;IF(E122="",A122,E122))</f>
        <v/>
      </c>
      <c r="G122" s="10" t="str">
        <f aca="false">IF(A122="","",IF(SUMPRODUCT(--EXACT($A$2:$A$201,A122))&gt;1,"Duplicate ID",IF(SUMPRODUCT(--EXACT('1 Types'!$A$2:$A$201,C122))=0,"Type is not on the Types sheet",IF(AND(D122&lt;&gt;"",NOT(SUMPRODUCT(--EXACT($A$2:$A$201,D122))&gt;0)),"Parent is not an asset",IF(AND(D122="",IFERROR(INDEX('1 Types'!$E$2:$E$201,MATCH(C122,'1 Types'!$A$2:$A$201,0)),"")&lt;&gt;"yes"),"Needs a parent",IF(OR(L122&lt;&gt;"",H122=A122,I122=A122,J122=A122,K122=A122),"Parent loop, or more than five levels","ok"))))))</f>
        <v/>
      </c>
      <c r="H122" s="10" t="str">
        <f aca="false">IF(A122="","",D122)</f>
        <v/>
      </c>
      <c r="I122" s="10" t="str">
        <f aca="false">IF(H122="","",IFERROR(INDEX($D$2:$D$201,MATCH(H122,$A$2:$A$201,0)),""))</f>
        <v/>
      </c>
      <c r="J122" s="10" t="str">
        <f aca="false">IF(I122="","",IFERROR(INDEX($D$2:$D$201,MATCH(I122,$A$2:$A$201,0)),""))</f>
        <v/>
      </c>
      <c r="K122" s="10" t="str">
        <f aca="false">IF(J122="","",IFERROR(INDEX($D$2:$D$201,MATCH(J122,$A$2:$A$201,0)),""))</f>
        <v/>
      </c>
      <c r="L122" s="10" t="str">
        <f aca="false">IF(K122="","",IFERROR(INDEX($D$2:$D$201,MATCH(K122,$A$2:$A$201,0)),""))</f>
        <v/>
      </c>
      <c r="M122" s="10" t="str">
        <f aca="false">IF(A122="","",IF(K122&lt;&gt;"",K122,IF(J122&lt;&gt;"",J122,IF(I122&lt;&gt;"",I122,IF(H122&lt;&gt;"",H122,A122)))))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10" t="str">
        <f aca="false">IF(A123="","",IF(K123&lt;&gt;"",IFERROR(IF(INDEX($E$2:$E$201,MATCH(K123,$A$2:$A$201,0))="",K123,INDEX($E$2:$E$201,MATCH(K123,$A$2:$A$201,0))),K123)&amp;"/","")&amp;IF(J123&lt;&gt;"",IFERROR(IF(INDEX($E$2:$E$201,MATCH(J123,$A$2:$A$201,0))="",J123,INDEX($E$2:$E$201,MATCH(J123,$A$2:$A$201,0))),J123)&amp;"/","")&amp;IF(I123&lt;&gt;"",IFERROR(IF(INDEX($E$2:$E$201,MATCH(I123,$A$2:$A$201,0))="",I123,INDEX($E$2:$E$201,MATCH(I123,$A$2:$A$201,0))),I123)&amp;"/","")&amp;IF(H123&lt;&gt;"",IFERROR(IF(INDEX($E$2:$E$201,MATCH(H123,$A$2:$A$201,0))="",H123,INDEX($E$2:$E$201,MATCH(H123,$A$2:$A$201,0))),H123)&amp;"/","")&amp;IF(E123="",A123,E123))</f>
        <v/>
      </c>
      <c r="G123" s="10" t="str">
        <f aca="false">IF(A123="","",IF(SUMPRODUCT(--EXACT($A$2:$A$201,A123))&gt;1,"Duplicate ID",IF(SUMPRODUCT(--EXACT('1 Types'!$A$2:$A$201,C123))=0,"Type is not on the Types sheet",IF(AND(D123&lt;&gt;"",NOT(SUMPRODUCT(--EXACT($A$2:$A$201,D123))&gt;0)),"Parent is not an asset",IF(AND(D123="",IFERROR(INDEX('1 Types'!$E$2:$E$201,MATCH(C123,'1 Types'!$A$2:$A$201,0)),"")&lt;&gt;"yes"),"Needs a parent",IF(OR(L123&lt;&gt;"",H123=A123,I123=A123,J123=A123,K123=A123),"Parent loop, or more than five levels","ok"))))))</f>
        <v/>
      </c>
      <c r="H123" s="10" t="str">
        <f aca="false">IF(A123="","",D123)</f>
        <v/>
      </c>
      <c r="I123" s="10" t="str">
        <f aca="false">IF(H123="","",IFERROR(INDEX($D$2:$D$201,MATCH(H123,$A$2:$A$201,0)),""))</f>
        <v/>
      </c>
      <c r="J123" s="10" t="str">
        <f aca="false">IF(I123="","",IFERROR(INDEX($D$2:$D$201,MATCH(I123,$A$2:$A$201,0)),""))</f>
        <v/>
      </c>
      <c r="K123" s="10" t="str">
        <f aca="false">IF(J123="","",IFERROR(INDEX($D$2:$D$201,MATCH(J123,$A$2:$A$201,0)),""))</f>
        <v/>
      </c>
      <c r="L123" s="10" t="str">
        <f aca="false">IF(K123="","",IFERROR(INDEX($D$2:$D$201,MATCH(K123,$A$2:$A$201,0)),""))</f>
        <v/>
      </c>
      <c r="M123" s="10" t="str">
        <f aca="false">IF(A123="","",IF(K123&lt;&gt;"",K123,IF(J123&lt;&gt;"",J123,IF(I123&lt;&gt;"",I123,IF(H123&lt;&gt;"",H123,A123)))))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10" t="str">
        <f aca="false">IF(A124="","",IF(K124&lt;&gt;"",IFERROR(IF(INDEX($E$2:$E$201,MATCH(K124,$A$2:$A$201,0))="",K124,INDEX($E$2:$E$201,MATCH(K124,$A$2:$A$201,0))),K124)&amp;"/","")&amp;IF(J124&lt;&gt;"",IFERROR(IF(INDEX($E$2:$E$201,MATCH(J124,$A$2:$A$201,0))="",J124,INDEX($E$2:$E$201,MATCH(J124,$A$2:$A$201,0))),J124)&amp;"/","")&amp;IF(I124&lt;&gt;"",IFERROR(IF(INDEX($E$2:$E$201,MATCH(I124,$A$2:$A$201,0))="",I124,INDEX($E$2:$E$201,MATCH(I124,$A$2:$A$201,0))),I124)&amp;"/","")&amp;IF(H124&lt;&gt;"",IFERROR(IF(INDEX($E$2:$E$201,MATCH(H124,$A$2:$A$201,0))="",H124,INDEX($E$2:$E$201,MATCH(H124,$A$2:$A$201,0))),H124)&amp;"/","")&amp;IF(E124="",A124,E124))</f>
        <v/>
      </c>
      <c r="G124" s="10" t="str">
        <f aca="false">IF(A124="","",IF(SUMPRODUCT(--EXACT($A$2:$A$201,A124))&gt;1,"Duplicate ID",IF(SUMPRODUCT(--EXACT('1 Types'!$A$2:$A$201,C124))=0,"Type is not on the Types sheet",IF(AND(D124&lt;&gt;"",NOT(SUMPRODUCT(--EXACT($A$2:$A$201,D124))&gt;0)),"Parent is not an asset",IF(AND(D124="",IFERROR(INDEX('1 Types'!$E$2:$E$201,MATCH(C124,'1 Types'!$A$2:$A$201,0)),"")&lt;&gt;"yes"),"Needs a parent",IF(OR(L124&lt;&gt;"",H124=A124,I124=A124,J124=A124,K124=A124),"Parent loop, or more than five levels","ok"))))))</f>
        <v/>
      </c>
      <c r="H124" s="10" t="str">
        <f aca="false">IF(A124="","",D124)</f>
        <v/>
      </c>
      <c r="I124" s="10" t="str">
        <f aca="false">IF(H124="","",IFERROR(INDEX($D$2:$D$201,MATCH(H124,$A$2:$A$201,0)),""))</f>
        <v/>
      </c>
      <c r="J124" s="10" t="str">
        <f aca="false">IF(I124="","",IFERROR(INDEX($D$2:$D$201,MATCH(I124,$A$2:$A$201,0)),""))</f>
        <v/>
      </c>
      <c r="K124" s="10" t="str">
        <f aca="false">IF(J124="","",IFERROR(INDEX($D$2:$D$201,MATCH(J124,$A$2:$A$201,0)),""))</f>
        <v/>
      </c>
      <c r="L124" s="10" t="str">
        <f aca="false">IF(K124="","",IFERROR(INDEX($D$2:$D$201,MATCH(K124,$A$2:$A$201,0)),""))</f>
        <v/>
      </c>
      <c r="M124" s="10" t="str">
        <f aca="false">IF(A124="","",IF(K124&lt;&gt;"",K124,IF(J124&lt;&gt;"",J124,IF(I124&lt;&gt;"",I124,IF(H124&lt;&gt;"",H124,A124)))))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10" t="str">
        <f aca="false">IF(A125="","",IF(K125&lt;&gt;"",IFERROR(IF(INDEX($E$2:$E$201,MATCH(K125,$A$2:$A$201,0))="",K125,INDEX($E$2:$E$201,MATCH(K125,$A$2:$A$201,0))),K125)&amp;"/","")&amp;IF(J125&lt;&gt;"",IFERROR(IF(INDEX($E$2:$E$201,MATCH(J125,$A$2:$A$201,0))="",J125,INDEX($E$2:$E$201,MATCH(J125,$A$2:$A$201,0))),J125)&amp;"/","")&amp;IF(I125&lt;&gt;"",IFERROR(IF(INDEX($E$2:$E$201,MATCH(I125,$A$2:$A$201,0))="",I125,INDEX($E$2:$E$201,MATCH(I125,$A$2:$A$201,0))),I125)&amp;"/","")&amp;IF(H125&lt;&gt;"",IFERROR(IF(INDEX($E$2:$E$201,MATCH(H125,$A$2:$A$201,0))="",H125,INDEX($E$2:$E$201,MATCH(H125,$A$2:$A$201,0))),H125)&amp;"/","")&amp;IF(E125="",A125,E125))</f>
        <v/>
      </c>
      <c r="G125" s="10" t="str">
        <f aca="false">IF(A125="","",IF(SUMPRODUCT(--EXACT($A$2:$A$201,A125))&gt;1,"Duplicate ID",IF(SUMPRODUCT(--EXACT('1 Types'!$A$2:$A$201,C125))=0,"Type is not on the Types sheet",IF(AND(D125&lt;&gt;"",NOT(SUMPRODUCT(--EXACT($A$2:$A$201,D125))&gt;0)),"Parent is not an asset",IF(AND(D125="",IFERROR(INDEX('1 Types'!$E$2:$E$201,MATCH(C125,'1 Types'!$A$2:$A$201,0)),"")&lt;&gt;"yes"),"Needs a parent",IF(OR(L125&lt;&gt;"",H125=A125,I125=A125,J125=A125,K125=A125),"Parent loop, or more than five levels","ok"))))))</f>
        <v/>
      </c>
      <c r="H125" s="10" t="str">
        <f aca="false">IF(A125="","",D125)</f>
        <v/>
      </c>
      <c r="I125" s="10" t="str">
        <f aca="false">IF(H125="","",IFERROR(INDEX($D$2:$D$201,MATCH(H125,$A$2:$A$201,0)),""))</f>
        <v/>
      </c>
      <c r="J125" s="10" t="str">
        <f aca="false">IF(I125="","",IFERROR(INDEX($D$2:$D$201,MATCH(I125,$A$2:$A$201,0)),""))</f>
        <v/>
      </c>
      <c r="K125" s="10" t="str">
        <f aca="false">IF(J125="","",IFERROR(INDEX($D$2:$D$201,MATCH(J125,$A$2:$A$201,0)),""))</f>
        <v/>
      </c>
      <c r="L125" s="10" t="str">
        <f aca="false">IF(K125="","",IFERROR(INDEX($D$2:$D$201,MATCH(K125,$A$2:$A$201,0)),""))</f>
        <v/>
      </c>
      <c r="M125" s="10" t="str">
        <f aca="false">IF(A125="","",IF(K125&lt;&gt;"",K125,IF(J125&lt;&gt;"",J125,IF(I125&lt;&gt;"",I125,IF(H125&lt;&gt;"",H125,A125)))))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10" t="str">
        <f aca="false">IF(A126="","",IF(K126&lt;&gt;"",IFERROR(IF(INDEX($E$2:$E$201,MATCH(K126,$A$2:$A$201,0))="",K126,INDEX($E$2:$E$201,MATCH(K126,$A$2:$A$201,0))),K126)&amp;"/","")&amp;IF(J126&lt;&gt;"",IFERROR(IF(INDEX($E$2:$E$201,MATCH(J126,$A$2:$A$201,0))="",J126,INDEX($E$2:$E$201,MATCH(J126,$A$2:$A$201,0))),J126)&amp;"/","")&amp;IF(I126&lt;&gt;"",IFERROR(IF(INDEX($E$2:$E$201,MATCH(I126,$A$2:$A$201,0))="",I126,INDEX($E$2:$E$201,MATCH(I126,$A$2:$A$201,0))),I126)&amp;"/","")&amp;IF(H126&lt;&gt;"",IFERROR(IF(INDEX($E$2:$E$201,MATCH(H126,$A$2:$A$201,0))="",H126,INDEX($E$2:$E$201,MATCH(H126,$A$2:$A$201,0))),H126)&amp;"/","")&amp;IF(E126="",A126,E126))</f>
        <v/>
      </c>
      <c r="G126" s="10" t="str">
        <f aca="false">IF(A126="","",IF(SUMPRODUCT(--EXACT($A$2:$A$201,A126))&gt;1,"Duplicate ID",IF(SUMPRODUCT(--EXACT('1 Types'!$A$2:$A$201,C126))=0,"Type is not on the Types sheet",IF(AND(D126&lt;&gt;"",NOT(SUMPRODUCT(--EXACT($A$2:$A$201,D126))&gt;0)),"Parent is not an asset",IF(AND(D126="",IFERROR(INDEX('1 Types'!$E$2:$E$201,MATCH(C126,'1 Types'!$A$2:$A$201,0)),"")&lt;&gt;"yes"),"Needs a parent",IF(OR(L126&lt;&gt;"",H126=A126,I126=A126,J126=A126,K126=A126),"Parent loop, or more than five levels","ok"))))))</f>
        <v/>
      </c>
      <c r="H126" s="10" t="str">
        <f aca="false">IF(A126="","",D126)</f>
        <v/>
      </c>
      <c r="I126" s="10" t="str">
        <f aca="false">IF(H126="","",IFERROR(INDEX($D$2:$D$201,MATCH(H126,$A$2:$A$201,0)),""))</f>
        <v/>
      </c>
      <c r="J126" s="10" t="str">
        <f aca="false">IF(I126="","",IFERROR(INDEX($D$2:$D$201,MATCH(I126,$A$2:$A$201,0)),""))</f>
        <v/>
      </c>
      <c r="K126" s="10" t="str">
        <f aca="false">IF(J126="","",IFERROR(INDEX($D$2:$D$201,MATCH(J126,$A$2:$A$201,0)),""))</f>
        <v/>
      </c>
      <c r="L126" s="10" t="str">
        <f aca="false">IF(K126="","",IFERROR(INDEX($D$2:$D$201,MATCH(K126,$A$2:$A$201,0)),""))</f>
        <v/>
      </c>
      <c r="M126" s="10" t="str">
        <f aca="false">IF(A126="","",IF(K126&lt;&gt;"",K126,IF(J126&lt;&gt;"",J126,IF(I126&lt;&gt;"",I126,IF(H126&lt;&gt;"",H126,A126)))))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10" t="str">
        <f aca="false">IF(A127="","",IF(K127&lt;&gt;"",IFERROR(IF(INDEX($E$2:$E$201,MATCH(K127,$A$2:$A$201,0))="",K127,INDEX($E$2:$E$201,MATCH(K127,$A$2:$A$201,0))),K127)&amp;"/","")&amp;IF(J127&lt;&gt;"",IFERROR(IF(INDEX($E$2:$E$201,MATCH(J127,$A$2:$A$201,0))="",J127,INDEX($E$2:$E$201,MATCH(J127,$A$2:$A$201,0))),J127)&amp;"/","")&amp;IF(I127&lt;&gt;"",IFERROR(IF(INDEX($E$2:$E$201,MATCH(I127,$A$2:$A$201,0))="",I127,INDEX($E$2:$E$201,MATCH(I127,$A$2:$A$201,0))),I127)&amp;"/","")&amp;IF(H127&lt;&gt;"",IFERROR(IF(INDEX($E$2:$E$201,MATCH(H127,$A$2:$A$201,0))="",H127,INDEX($E$2:$E$201,MATCH(H127,$A$2:$A$201,0))),H127)&amp;"/","")&amp;IF(E127="",A127,E127))</f>
        <v/>
      </c>
      <c r="G127" s="10" t="str">
        <f aca="false">IF(A127="","",IF(SUMPRODUCT(--EXACT($A$2:$A$201,A127))&gt;1,"Duplicate ID",IF(SUMPRODUCT(--EXACT('1 Types'!$A$2:$A$201,C127))=0,"Type is not on the Types sheet",IF(AND(D127&lt;&gt;"",NOT(SUMPRODUCT(--EXACT($A$2:$A$201,D127))&gt;0)),"Parent is not an asset",IF(AND(D127="",IFERROR(INDEX('1 Types'!$E$2:$E$201,MATCH(C127,'1 Types'!$A$2:$A$201,0)),"")&lt;&gt;"yes"),"Needs a parent",IF(OR(L127&lt;&gt;"",H127=A127,I127=A127,J127=A127,K127=A127),"Parent loop, or more than five levels","ok"))))))</f>
        <v/>
      </c>
      <c r="H127" s="10" t="str">
        <f aca="false">IF(A127="","",D127)</f>
        <v/>
      </c>
      <c r="I127" s="10" t="str">
        <f aca="false">IF(H127="","",IFERROR(INDEX($D$2:$D$201,MATCH(H127,$A$2:$A$201,0)),""))</f>
        <v/>
      </c>
      <c r="J127" s="10" t="str">
        <f aca="false">IF(I127="","",IFERROR(INDEX($D$2:$D$201,MATCH(I127,$A$2:$A$201,0)),""))</f>
        <v/>
      </c>
      <c r="K127" s="10" t="str">
        <f aca="false">IF(J127="","",IFERROR(INDEX($D$2:$D$201,MATCH(J127,$A$2:$A$201,0)),""))</f>
        <v/>
      </c>
      <c r="L127" s="10" t="str">
        <f aca="false">IF(K127="","",IFERROR(INDEX($D$2:$D$201,MATCH(K127,$A$2:$A$201,0)),""))</f>
        <v/>
      </c>
      <c r="M127" s="10" t="str">
        <f aca="false">IF(A127="","",IF(K127&lt;&gt;"",K127,IF(J127&lt;&gt;"",J127,IF(I127&lt;&gt;"",I127,IF(H127&lt;&gt;"",H127,A127)))))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10" t="str">
        <f aca="false">IF(A128="","",IF(K128&lt;&gt;"",IFERROR(IF(INDEX($E$2:$E$201,MATCH(K128,$A$2:$A$201,0))="",K128,INDEX($E$2:$E$201,MATCH(K128,$A$2:$A$201,0))),K128)&amp;"/","")&amp;IF(J128&lt;&gt;"",IFERROR(IF(INDEX($E$2:$E$201,MATCH(J128,$A$2:$A$201,0))="",J128,INDEX($E$2:$E$201,MATCH(J128,$A$2:$A$201,0))),J128)&amp;"/","")&amp;IF(I128&lt;&gt;"",IFERROR(IF(INDEX($E$2:$E$201,MATCH(I128,$A$2:$A$201,0))="",I128,INDEX($E$2:$E$201,MATCH(I128,$A$2:$A$201,0))),I128)&amp;"/","")&amp;IF(H128&lt;&gt;"",IFERROR(IF(INDEX($E$2:$E$201,MATCH(H128,$A$2:$A$201,0))="",H128,INDEX($E$2:$E$201,MATCH(H128,$A$2:$A$201,0))),H128)&amp;"/","")&amp;IF(E128="",A128,E128))</f>
        <v/>
      </c>
      <c r="G128" s="10" t="str">
        <f aca="false">IF(A128="","",IF(SUMPRODUCT(--EXACT($A$2:$A$201,A128))&gt;1,"Duplicate ID",IF(SUMPRODUCT(--EXACT('1 Types'!$A$2:$A$201,C128))=0,"Type is not on the Types sheet",IF(AND(D128&lt;&gt;"",NOT(SUMPRODUCT(--EXACT($A$2:$A$201,D128))&gt;0)),"Parent is not an asset",IF(AND(D128="",IFERROR(INDEX('1 Types'!$E$2:$E$201,MATCH(C128,'1 Types'!$A$2:$A$201,0)),"")&lt;&gt;"yes"),"Needs a parent",IF(OR(L128&lt;&gt;"",H128=A128,I128=A128,J128=A128,K128=A128),"Parent loop, or more than five levels","ok"))))))</f>
        <v/>
      </c>
      <c r="H128" s="10" t="str">
        <f aca="false">IF(A128="","",D128)</f>
        <v/>
      </c>
      <c r="I128" s="10" t="str">
        <f aca="false">IF(H128="","",IFERROR(INDEX($D$2:$D$201,MATCH(H128,$A$2:$A$201,0)),""))</f>
        <v/>
      </c>
      <c r="J128" s="10" t="str">
        <f aca="false">IF(I128="","",IFERROR(INDEX($D$2:$D$201,MATCH(I128,$A$2:$A$201,0)),""))</f>
        <v/>
      </c>
      <c r="K128" s="10" t="str">
        <f aca="false">IF(J128="","",IFERROR(INDEX($D$2:$D$201,MATCH(J128,$A$2:$A$201,0)),""))</f>
        <v/>
      </c>
      <c r="L128" s="10" t="str">
        <f aca="false">IF(K128="","",IFERROR(INDEX($D$2:$D$201,MATCH(K128,$A$2:$A$201,0)),""))</f>
        <v/>
      </c>
      <c r="M128" s="10" t="str">
        <f aca="false">IF(A128="","",IF(K128&lt;&gt;"",K128,IF(J128&lt;&gt;"",J128,IF(I128&lt;&gt;"",I128,IF(H128&lt;&gt;"",H128,A128)))))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10" t="str">
        <f aca="false">IF(A129="","",IF(K129&lt;&gt;"",IFERROR(IF(INDEX($E$2:$E$201,MATCH(K129,$A$2:$A$201,0))="",K129,INDEX($E$2:$E$201,MATCH(K129,$A$2:$A$201,0))),K129)&amp;"/","")&amp;IF(J129&lt;&gt;"",IFERROR(IF(INDEX($E$2:$E$201,MATCH(J129,$A$2:$A$201,0))="",J129,INDEX($E$2:$E$201,MATCH(J129,$A$2:$A$201,0))),J129)&amp;"/","")&amp;IF(I129&lt;&gt;"",IFERROR(IF(INDEX($E$2:$E$201,MATCH(I129,$A$2:$A$201,0))="",I129,INDEX($E$2:$E$201,MATCH(I129,$A$2:$A$201,0))),I129)&amp;"/","")&amp;IF(H129&lt;&gt;"",IFERROR(IF(INDEX($E$2:$E$201,MATCH(H129,$A$2:$A$201,0))="",H129,INDEX($E$2:$E$201,MATCH(H129,$A$2:$A$201,0))),H129)&amp;"/","")&amp;IF(E129="",A129,E129))</f>
        <v/>
      </c>
      <c r="G129" s="10" t="str">
        <f aca="false">IF(A129="","",IF(SUMPRODUCT(--EXACT($A$2:$A$201,A129))&gt;1,"Duplicate ID",IF(SUMPRODUCT(--EXACT('1 Types'!$A$2:$A$201,C129))=0,"Type is not on the Types sheet",IF(AND(D129&lt;&gt;"",NOT(SUMPRODUCT(--EXACT($A$2:$A$201,D129))&gt;0)),"Parent is not an asset",IF(AND(D129="",IFERROR(INDEX('1 Types'!$E$2:$E$201,MATCH(C129,'1 Types'!$A$2:$A$201,0)),"")&lt;&gt;"yes"),"Needs a parent",IF(OR(L129&lt;&gt;"",H129=A129,I129=A129,J129=A129,K129=A129),"Parent loop, or more than five levels","ok"))))))</f>
        <v/>
      </c>
      <c r="H129" s="10" t="str">
        <f aca="false">IF(A129="","",D129)</f>
        <v/>
      </c>
      <c r="I129" s="10" t="str">
        <f aca="false">IF(H129="","",IFERROR(INDEX($D$2:$D$201,MATCH(H129,$A$2:$A$201,0)),""))</f>
        <v/>
      </c>
      <c r="J129" s="10" t="str">
        <f aca="false">IF(I129="","",IFERROR(INDEX($D$2:$D$201,MATCH(I129,$A$2:$A$201,0)),""))</f>
        <v/>
      </c>
      <c r="K129" s="10" t="str">
        <f aca="false">IF(J129="","",IFERROR(INDEX($D$2:$D$201,MATCH(J129,$A$2:$A$201,0)),""))</f>
        <v/>
      </c>
      <c r="L129" s="10" t="str">
        <f aca="false">IF(K129="","",IFERROR(INDEX($D$2:$D$201,MATCH(K129,$A$2:$A$201,0)),""))</f>
        <v/>
      </c>
      <c r="M129" s="10" t="str">
        <f aca="false">IF(A129="","",IF(K129&lt;&gt;"",K129,IF(J129&lt;&gt;"",J129,IF(I129&lt;&gt;"",I129,IF(H129&lt;&gt;"",H129,A129)))))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10" t="str">
        <f aca="false">IF(A130="","",IF(K130&lt;&gt;"",IFERROR(IF(INDEX($E$2:$E$201,MATCH(K130,$A$2:$A$201,0))="",K130,INDEX($E$2:$E$201,MATCH(K130,$A$2:$A$201,0))),K130)&amp;"/","")&amp;IF(J130&lt;&gt;"",IFERROR(IF(INDEX($E$2:$E$201,MATCH(J130,$A$2:$A$201,0))="",J130,INDEX($E$2:$E$201,MATCH(J130,$A$2:$A$201,0))),J130)&amp;"/","")&amp;IF(I130&lt;&gt;"",IFERROR(IF(INDEX($E$2:$E$201,MATCH(I130,$A$2:$A$201,0))="",I130,INDEX($E$2:$E$201,MATCH(I130,$A$2:$A$201,0))),I130)&amp;"/","")&amp;IF(H130&lt;&gt;"",IFERROR(IF(INDEX($E$2:$E$201,MATCH(H130,$A$2:$A$201,0))="",H130,INDEX($E$2:$E$201,MATCH(H130,$A$2:$A$201,0))),H130)&amp;"/","")&amp;IF(E130="",A130,E130))</f>
        <v/>
      </c>
      <c r="G130" s="10" t="str">
        <f aca="false">IF(A130="","",IF(SUMPRODUCT(--EXACT($A$2:$A$201,A130))&gt;1,"Duplicate ID",IF(SUMPRODUCT(--EXACT('1 Types'!$A$2:$A$201,C130))=0,"Type is not on the Types sheet",IF(AND(D130&lt;&gt;"",NOT(SUMPRODUCT(--EXACT($A$2:$A$201,D130))&gt;0)),"Parent is not an asset",IF(AND(D130="",IFERROR(INDEX('1 Types'!$E$2:$E$201,MATCH(C130,'1 Types'!$A$2:$A$201,0)),"")&lt;&gt;"yes"),"Needs a parent",IF(OR(L130&lt;&gt;"",H130=A130,I130=A130,J130=A130,K130=A130),"Parent loop, or more than five levels","ok"))))))</f>
        <v/>
      </c>
      <c r="H130" s="10" t="str">
        <f aca="false">IF(A130="","",D130)</f>
        <v/>
      </c>
      <c r="I130" s="10" t="str">
        <f aca="false">IF(H130="","",IFERROR(INDEX($D$2:$D$201,MATCH(H130,$A$2:$A$201,0)),""))</f>
        <v/>
      </c>
      <c r="J130" s="10" t="str">
        <f aca="false">IF(I130="","",IFERROR(INDEX($D$2:$D$201,MATCH(I130,$A$2:$A$201,0)),""))</f>
        <v/>
      </c>
      <c r="K130" s="10" t="str">
        <f aca="false">IF(J130="","",IFERROR(INDEX($D$2:$D$201,MATCH(J130,$A$2:$A$201,0)),""))</f>
        <v/>
      </c>
      <c r="L130" s="10" t="str">
        <f aca="false">IF(K130="","",IFERROR(INDEX($D$2:$D$201,MATCH(K130,$A$2:$A$201,0)),""))</f>
        <v/>
      </c>
      <c r="M130" s="10" t="str">
        <f aca="false">IF(A130="","",IF(K130&lt;&gt;"",K130,IF(J130&lt;&gt;"",J130,IF(I130&lt;&gt;"",I130,IF(H130&lt;&gt;"",H130,A130)))))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10" t="str">
        <f aca="false">IF(A131="","",IF(K131&lt;&gt;"",IFERROR(IF(INDEX($E$2:$E$201,MATCH(K131,$A$2:$A$201,0))="",K131,INDEX($E$2:$E$201,MATCH(K131,$A$2:$A$201,0))),K131)&amp;"/","")&amp;IF(J131&lt;&gt;"",IFERROR(IF(INDEX($E$2:$E$201,MATCH(J131,$A$2:$A$201,0))="",J131,INDEX($E$2:$E$201,MATCH(J131,$A$2:$A$201,0))),J131)&amp;"/","")&amp;IF(I131&lt;&gt;"",IFERROR(IF(INDEX($E$2:$E$201,MATCH(I131,$A$2:$A$201,0))="",I131,INDEX($E$2:$E$201,MATCH(I131,$A$2:$A$201,0))),I131)&amp;"/","")&amp;IF(H131&lt;&gt;"",IFERROR(IF(INDEX($E$2:$E$201,MATCH(H131,$A$2:$A$201,0))="",H131,INDEX($E$2:$E$201,MATCH(H131,$A$2:$A$201,0))),H131)&amp;"/","")&amp;IF(E131="",A131,E131))</f>
        <v/>
      </c>
      <c r="G131" s="10" t="str">
        <f aca="false">IF(A131="","",IF(SUMPRODUCT(--EXACT($A$2:$A$201,A131))&gt;1,"Duplicate ID",IF(SUMPRODUCT(--EXACT('1 Types'!$A$2:$A$201,C131))=0,"Type is not on the Types sheet",IF(AND(D131&lt;&gt;"",NOT(SUMPRODUCT(--EXACT($A$2:$A$201,D131))&gt;0)),"Parent is not an asset",IF(AND(D131="",IFERROR(INDEX('1 Types'!$E$2:$E$201,MATCH(C131,'1 Types'!$A$2:$A$201,0)),"")&lt;&gt;"yes"),"Needs a parent",IF(OR(L131&lt;&gt;"",H131=A131,I131=A131,J131=A131,K131=A131),"Parent loop, or more than five levels","ok"))))))</f>
        <v/>
      </c>
      <c r="H131" s="10" t="str">
        <f aca="false">IF(A131="","",D131)</f>
        <v/>
      </c>
      <c r="I131" s="10" t="str">
        <f aca="false">IF(H131="","",IFERROR(INDEX($D$2:$D$201,MATCH(H131,$A$2:$A$201,0)),""))</f>
        <v/>
      </c>
      <c r="J131" s="10" t="str">
        <f aca="false">IF(I131="","",IFERROR(INDEX($D$2:$D$201,MATCH(I131,$A$2:$A$201,0)),""))</f>
        <v/>
      </c>
      <c r="K131" s="10" t="str">
        <f aca="false">IF(J131="","",IFERROR(INDEX($D$2:$D$201,MATCH(J131,$A$2:$A$201,0)),""))</f>
        <v/>
      </c>
      <c r="L131" s="10" t="str">
        <f aca="false">IF(K131="","",IFERROR(INDEX($D$2:$D$201,MATCH(K131,$A$2:$A$201,0)),""))</f>
        <v/>
      </c>
      <c r="M131" s="10" t="str">
        <f aca="false">IF(A131="","",IF(K131&lt;&gt;"",K131,IF(J131&lt;&gt;"",J131,IF(I131&lt;&gt;"",I131,IF(H131&lt;&gt;"",H131,A131)))))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10" t="str">
        <f aca="false">IF(A132="","",IF(K132&lt;&gt;"",IFERROR(IF(INDEX($E$2:$E$201,MATCH(K132,$A$2:$A$201,0))="",K132,INDEX($E$2:$E$201,MATCH(K132,$A$2:$A$201,0))),K132)&amp;"/","")&amp;IF(J132&lt;&gt;"",IFERROR(IF(INDEX($E$2:$E$201,MATCH(J132,$A$2:$A$201,0))="",J132,INDEX($E$2:$E$201,MATCH(J132,$A$2:$A$201,0))),J132)&amp;"/","")&amp;IF(I132&lt;&gt;"",IFERROR(IF(INDEX($E$2:$E$201,MATCH(I132,$A$2:$A$201,0))="",I132,INDEX($E$2:$E$201,MATCH(I132,$A$2:$A$201,0))),I132)&amp;"/","")&amp;IF(H132&lt;&gt;"",IFERROR(IF(INDEX($E$2:$E$201,MATCH(H132,$A$2:$A$201,0))="",H132,INDEX($E$2:$E$201,MATCH(H132,$A$2:$A$201,0))),H132)&amp;"/","")&amp;IF(E132="",A132,E132))</f>
        <v/>
      </c>
      <c r="G132" s="10" t="str">
        <f aca="false">IF(A132="","",IF(SUMPRODUCT(--EXACT($A$2:$A$201,A132))&gt;1,"Duplicate ID",IF(SUMPRODUCT(--EXACT('1 Types'!$A$2:$A$201,C132))=0,"Type is not on the Types sheet",IF(AND(D132&lt;&gt;"",NOT(SUMPRODUCT(--EXACT($A$2:$A$201,D132))&gt;0)),"Parent is not an asset",IF(AND(D132="",IFERROR(INDEX('1 Types'!$E$2:$E$201,MATCH(C132,'1 Types'!$A$2:$A$201,0)),"")&lt;&gt;"yes"),"Needs a parent",IF(OR(L132&lt;&gt;"",H132=A132,I132=A132,J132=A132,K132=A132),"Parent loop, or more than five levels","ok"))))))</f>
        <v/>
      </c>
      <c r="H132" s="10" t="str">
        <f aca="false">IF(A132="","",D132)</f>
        <v/>
      </c>
      <c r="I132" s="10" t="str">
        <f aca="false">IF(H132="","",IFERROR(INDEX($D$2:$D$201,MATCH(H132,$A$2:$A$201,0)),""))</f>
        <v/>
      </c>
      <c r="J132" s="10" t="str">
        <f aca="false">IF(I132="","",IFERROR(INDEX($D$2:$D$201,MATCH(I132,$A$2:$A$201,0)),""))</f>
        <v/>
      </c>
      <c r="K132" s="10" t="str">
        <f aca="false">IF(J132="","",IFERROR(INDEX($D$2:$D$201,MATCH(J132,$A$2:$A$201,0)),""))</f>
        <v/>
      </c>
      <c r="L132" s="10" t="str">
        <f aca="false">IF(K132="","",IFERROR(INDEX($D$2:$D$201,MATCH(K132,$A$2:$A$201,0)),""))</f>
        <v/>
      </c>
      <c r="M132" s="10" t="str">
        <f aca="false">IF(A132="","",IF(K132&lt;&gt;"",K132,IF(J132&lt;&gt;"",J132,IF(I132&lt;&gt;"",I132,IF(H132&lt;&gt;"",H132,A132)))))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10" t="str">
        <f aca="false">IF(A133="","",IF(K133&lt;&gt;"",IFERROR(IF(INDEX($E$2:$E$201,MATCH(K133,$A$2:$A$201,0))="",K133,INDEX($E$2:$E$201,MATCH(K133,$A$2:$A$201,0))),K133)&amp;"/","")&amp;IF(J133&lt;&gt;"",IFERROR(IF(INDEX($E$2:$E$201,MATCH(J133,$A$2:$A$201,0))="",J133,INDEX($E$2:$E$201,MATCH(J133,$A$2:$A$201,0))),J133)&amp;"/","")&amp;IF(I133&lt;&gt;"",IFERROR(IF(INDEX($E$2:$E$201,MATCH(I133,$A$2:$A$201,0))="",I133,INDEX($E$2:$E$201,MATCH(I133,$A$2:$A$201,0))),I133)&amp;"/","")&amp;IF(H133&lt;&gt;"",IFERROR(IF(INDEX($E$2:$E$201,MATCH(H133,$A$2:$A$201,0))="",H133,INDEX($E$2:$E$201,MATCH(H133,$A$2:$A$201,0))),H133)&amp;"/","")&amp;IF(E133="",A133,E133))</f>
        <v/>
      </c>
      <c r="G133" s="10" t="str">
        <f aca="false">IF(A133="","",IF(SUMPRODUCT(--EXACT($A$2:$A$201,A133))&gt;1,"Duplicate ID",IF(SUMPRODUCT(--EXACT('1 Types'!$A$2:$A$201,C133))=0,"Type is not on the Types sheet",IF(AND(D133&lt;&gt;"",NOT(SUMPRODUCT(--EXACT($A$2:$A$201,D133))&gt;0)),"Parent is not an asset",IF(AND(D133="",IFERROR(INDEX('1 Types'!$E$2:$E$201,MATCH(C133,'1 Types'!$A$2:$A$201,0)),"")&lt;&gt;"yes"),"Needs a parent",IF(OR(L133&lt;&gt;"",H133=A133,I133=A133,J133=A133,K133=A133),"Parent loop, or more than five levels","ok"))))))</f>
        <v/>
      </c>
      <c r="H133" s="10" t="str">
        <f aca="false">IF(A133="","",D133)</f>
        <v/>
      </c>
      <c r="I133" s="10" t="str">
        <f aca="false">IF(H133="","",IFERROR(INDEX($D$2:$D$201,MATCH(H133,$A$2:$A$201,0)),""))</f>
        <v/>
      </c>
      <c r="J133" s="10" t="str">
        <f aca="false">IF(I133="","",IFERROR(INDEX($D$2:$D$201,MATCH(I133,$A$2:$A$201,0)),""))</f>
        <v/>
      </c>
      <c r="K133" s="10" t="str">
        <f aca="false">IF(J133="","",IFERROR(INDEX($D$2:$D$201,MATCH(J133,$A$2:$A$201,0)),""))</f>
        <v/>
      </c>
      <c r="L133" s="10" t="str">
        <f aca="false">IF(K133="","",IFERROR(INDEX($D$2:$D$201,MATCH(K133,$A$2:$A$201,0)),""))</f>
        <v/>
      </c>
      <c r="M133" s="10" t="str">
        <f aca="false">IF(A133="","",IF(K133&lt;&gt;"",K133,IF(J133&lt;&gt;"",J133,IF(I133&lt;&gt;"",I133,IF(H133&lt;&gt;"",H133,A133)))))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10" t="str">
        <f aca="false">IF(A134="","",IF(K134&lt;&gt;"",IFERROR(IF(INDEX($E$2:$E$201,MATCH(K134,$A$2:$A$201,0))="",K134,INDEX($E$2:$E$201,MATCH(K134,$A$2:$A$201,0))),K134)&amp;"/","")&amp;IF(J134&lt;&gt;"",IFERROR(IF(INDEX($E$2:$E$201,MATCH(J134,$A$2:$A$201,0))="",J134,INDEX($E$2:$E$201,MATCH(J134,$A$2:$A$201,0))),J134)&amp;"/","")&amp;IF(I134&lt;&gt;"",IFERROR(IF(INDEX($E$2:$E$201,MATCH(I134,$A$2:$A$201,0))="",I134,INDEX($E$2:$E$201,MATCH(I134,$A$2:$A$201,0))),I134)&amp;"/","")&amp;IF(H134&lt;&gt;"",IFERROR(IF(INDEX($E$2:$E$201,MATCH(H134,$A$2:$A$201,0))="",H134,INDEX($E$2:$E$201,MATCH(H134,$A$2:$A$201,0))),H134)&amp;"/","")&amp;IF(E134="",A134,E134))</f>
        <v/>
      </c>
      <c r="G134" s="10" t="str">
        <f aca="false">IF(A134="","",IF(SUMPRODUCT(--EXACT($A$2:$A$201,A134))&gt;1,"Duplicate ID",IF(SUMPRODUCT(--EXACT('1 Types'!$A$2:$A$201,C134))=0,"Type is not on the Types sheet",IF(AND(D134&lt;&gt;"",NOT(SUMPRODUCT(--EXACT($A$2:$A$201,D134))&gt;0)),"Parent is not an asset",IF(AND(D134="",IFERROR(INDEX('1 Types'!$E$2:$E$201,MATCH(C134,'1 Types'!$A$2:$A$201,0)),"")&lt;&gt;"yes"),"Needs a parent",IF(OR(L134&lt;&gt;"",H134=A134,I134=A134,J134=A134,K134=A134),"Parent loop, or more than five levels","ok"))))))</f>
        <v/>
      </c>
      <c r="H134" s="10" t="str">
        <f aca="false">IF(A134="","",D134)</f>
        <v/>
      </c>
      <c r="I134" s="10" t="str">
        <f aca="false">IF(H134="","",IFERROR(INDEX($D$2:$D$201,MATCH(H134,$A$2:$A$201,0)),""))</f>
        <v/>
      </c>
      <c r="J134" s="10" t="str">
        <f aca="false">IF(I134="","",IFERROR(INDEX($D$2:$D$201,MATCH(I134,$A$2:$A$201,0)),""))</f>
        <v/>
      </c>
      <c r="K134" s="10" t="str">
        <f aca="false">IF(J134="","",IFERROR(INDEX($D$2:$D$201,MATCH(J134,$A$2:$A$201,0)),""))</f>
        <v/>
      </c>
      <c r="L134" s="10" t="str">
        <f aca="false">IF(K134="","",IFERROR(INDEX($D$2:$D$201,MATCH(K134,$A$2:$A$201,0)),""))</f>
        <v/>
      </c>
      <c r="M134" s="10" t="str">
        <f aca="false">IF(A134="","",IF(K134&lt;&gt;"",K134,IF(J134&lt;&gt;"",J134,IF(I134&lt;&gt;"",I134,IF(H134&lt;&gt;"",H134,A134)))))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10" t="str">
        <f aca="false">IF(A135="","",IF(K135&lt;&gt;"",IFERROR(IF(INDEX($E$2:$E$201,MATCH(K135,$A$2:$A$201,0))="",K135,INDEX($E$2:$E$201,MATCH(K135,$A$2:$A$201,0))),K135)&amp;"/","")&amp;IF(J135&lt;&gt;"",IFERROR(IF(INDEX($E$2:$E$201,MATCH(J135,$A$2:$A$201,0))="",J135,INDEX($E$2:$E$201,MATCH(J135,$A$2:$A$201,0))),J135)&amp;"/","")&amp;IF(I135&lt;&gt;"",IFERROR(IF(INDEX($E$2:$E$201,MATCH(I135,$A$2:$A$201,0))="",I135,INDEX($E$2:$E$201,MATCH(I135,$A$2:$A$201,0))),I135)&amp;"/","")&amp;IF(H135&lt;&gt;"",IFERROR(IF(INDEX($E$2:$E$201,MATCH(H135,$A$2:$A$201,0))="",H135,INDEX($E$2:$E$201,MATCH(H135,$A$2:$A$201,0))),H135)&amp;"/","")&amp;IF(E135="",A135,E135))</f>
        <v/>
      </c>
      <c r="G135" s="10" t="str">
        <f aca="false">IF(A135="","",IF(SUMPRODUCT(--EXACT($A$2:$A$201,A135))&gt;1,"Duplicate ID",IF(SUMPRODUCT(--EXACT('1 Types'!$A$2:$A$201,C135))=0,"Type is not on the Types sheet",IF(AND(D135&lt;&gt;"",NOT(SUMPRODUCT(--EXACT($A$2:$A$201,D135))&gt;0)),"Parent is not an asset",IF(AND(D135="",IFERROR(INDEX('1 Types'!$E$2:$E$201,MATCH(C135,'1 Types'!$A$2:$A$201,0)),"")&lt;&gt;"yes"),"Needs a parent",IF(OR(L135&lt;&gt;"",H135=A135,I135=A135,J135=A135,K135=A135),"Parent loop, or more than five levels","ok"))))))</f>
        <v/>
      </c>
      <c r="H135" s="10" t="str">
        <f aca="false">IF(A135="","",D135)</f>
        <v/>
      </c>
      <c r="I135" s="10" t="str">
        <f aca="false">IF(H135="","",IFERROR(INDEX($D$2:$D$201,MATCH(H135,$A$2:$A$201,0)),""))</f>
        <v/>
      </c>
      <c r="J135" s="10" t="str">
        <f aca="false">IF(I135="","",IFERROR(INDEX($D$2:$D$201,MATCH(I135,$A$2:$A$201,0)),""))</f>
        <v/>
      </c>
      <c r="K135" s="10" t="str">
        <f aca="false">IF(J135="","",IFERROR(INDEX($D$2:$D$201,MATCH(J135,$A$2:$A$201,0)),""))</f>
        <v/>
      </c>
      <c r="L135" s="10" t="str">
        <f aca="false">IF(K135="","",IFERROR(INDEX($D$2:$D$201,MATCH(K135,$A$2:$A$201,0)),""))</f>
        <v/>
      </c>
      <c r="M135" s="10" t="str">
        <f aca="false">IF(A135="","",IF(K135&lt;&gt;"",K135,IF(J135&lt;&gt;"",J135,IF(I135&lt;&gt;"",I135,IF(H135&lt;&gt;"",H135,A135)))))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10" t="str">
        <f aca="false">IF(A136="","",IF(K136&lt;&gt;"",IFERROR(IF(INDEX($E$2:$E$201,MATCH(K136,$A$2:$A$201,0))="",K136,INDEX($E$2:$E$201,MATCH(K136,$A$2:$A$201,0))),K136)&amp;"/","")&amp;IF(J136&lt;&gt;"",IFERROR(IF(INDEX($E$2:$E$201,MATCH(J136,$A$2:$A$201,0))="",J136,INDEX($E$2:$E$201,MATCH(J136,$A$2:$A$201,0))),J136)&amp;"/","")&amp;IF(I136&lt;&gt;"",IFERROR(IF(INDEX($E$2:$E$201,MATCH(I136,$A$2:$A$201,0))="",I136,INDEX($E$2:$E$201,MATCH(I136,$A$2:$A$201,0))),I136)&amp;"/","")&amp;IF(H136&lt;&gt;"",IFERROR(IF(INDEX($E$2:$E$201,MATCH(H136,$A$2:$A$201,0))="",H136,INDEX($E$2:$E$201,MATCH(H136,$A$2:$A$201,0))),H136)&amp;"/","")&amp;IF(E136="",A136,E136))</f>
        <v/>
      </c>
      <c r="G136" s="10" t="str">
        <f aca="false">IF(A136="","",IF(SUMPRODUCT(--EXACT($A$2:$A$201,A136))&gt;1,"Duplicate ID",IF(SUMPRODUCT(--EXACT('1 Types'!$A$2:$A$201,C136))=0,"Type is not on the Types sheet",IF(AND(D136&lt;&gt;"",NOT(SUMPRODUCT(--EXACT($A$2:$A$201,D136))&gt;0)),"Parent is not an asset",IF(AND(D136="",IFERROR(INDEX('1 Types'!$E$2:$E$201,MATCH(C136,'1 Types'!$A$2:$A$201,0)),"")&lt;&gt;"yes"),"Needs a parent",IF(OR(L136&lt;&gt;"",H136=A136,I136=A136,J136=A136,K136=A136),"Parent loop, or more than five levels","ok"))))))</f>
        <v/>
      </c>
      <c r="H136" s="10" t="str">
        <f aca="false">IF(A136="","",D136)</f>
        <v/>
      </c>
      <c r="I136" s="10" t="str">
        <f aca="false">IF(H136="","",IFERROR(INDEX($D$2:$D$201,MATCH(H136,$A$2:$A$201,0)),""))</f>
        <v/>
      </c>
      <c r="J136" s="10" t="str">
        <f aca="false">IF(I136="","",IFERROR(INDEX($D$2:$D$201,MATCH(I136,$A$2:$A$201,0)),""))</f>
        <v/>
      </c>
      <c r="K136" s="10" t="str">
        <f aca="false">IF(J136="","",IFERROR(INDEX($D$2:$D$201,MATCH(J136,$A$2:$A$201,0)),""))</f>
        <v/>
      </c>
      <c r="L136" s="10" t="str">
        <f aca="false">IF(K136="","",IFERROR(INDEX($D$2:$D$201,MATCH(K136,$A$2:$A$201,0)),""))</f>
        <v/>
      </c>
      <c r="M136" s="10" t="str">
        <f aca="false">IF(A136="","",IF(K136&lt;&gt;"",K136,IF(J136&lt;&gt;"",J136,IF(I136&lt;&gt;"",I136,IF(H136&lt;&gt;"",H136,A136)))))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10" t="str">
        <f aca="false">IF(A137="","",IF(K137&lt;&gt;"",IFERROR(IF(INDEX($E$2:$E$201,MATCH(K137,$A$2:$A$201,0))="",K137,INDEX($E$2:$E$201,MATCH(K137,$A$2:$A$201,0))),K137)&amp;"/","")&amp;IF(J137&lt;&gt;"",IFERROR(IF(INDEX($E$2:$E$201,MATCH(J137,$A$2:$A$201,0))="",J137,INDEX($E$2:$E$201,MATCH(J137,$A$2:$A$201,0))),J137)&amp;"/","")&amp;IF(I137&lt;&gt;"",IFERROR(IF(INDEX($E$2:$E$201,MATCH(I137,$A$2:$A$201,0))="",I137,INDEX($E$2:$E$201,MATCH(I137,$A$2:$A$201,0))),I137)&amp;"/","")&amp;IF(H137&lt;&gt;"",IFERROR(IF(INDEX($E$2:$E$201,MATCH(H137,$A$2:$A$201,0))="",H137,INDEX($E$2:$E$201,MATCH(H137,$A$2:$A$201,0))),H137)&amp;"/","")&amp;IF(E137="",A137,E137))</f>
        <v/>
      </c>
      <c r="G137" s="10" t="str">
        <f aca="false">IF(A137="","",IF(SUMPRODUCT(--EXACT($A$2:$A$201,A137))&gt;1,"Duplicate ID",IF(SUMPRODUCT(--EXACT('1 Types'!$A$2:$A$201,C137))=0,"Type is not on the Types sheet",IF(AND(D137&lt;&gt;"",NOT(SUMPRODUCT(--EXACT($A$2:$A$201,D137))&gt;0)),"Parent is not an asset",IF(AND(D137="",IFERROR(INDEX('1 Types'!$E$2:$E$201,MATCH(C137,'1 Types'!$A$2:$A$201,0)),"")&lt;&gt;"yes"),"Needs a parent",IF(OR(L137&lt;&gt;"",H137=A137,I137=A137,J137=A137,K137=A137),"Parent loop, or more than five levels","ok"))))))</f>
        <v/>
      </c>
      <c r="H137" s="10" t="str">
        <f aca="false">IF(A137="","",D137)</f>
        <v/>
      </c>
      <c r="I137" s="10" t="str">
        <f aca="false">IF(H137="","",IFERROR(INDEX($D$2:$D$201,MATCH(H137,$A$2:$A$201,0)),""))</f>
        <v/>
      </c>
      <c r="J137" s="10" t="str">
        <f aca="false">IF(I137="","",IFERROR(INDEX($D$2:$D$201,MATCH(I137,$A$2:$A$201,0)),""))</f>
        <v/>
      </c>
      <c r="K137" s="10" t="str">
        <f aca="false">IF(J137="","",IFERROR(INDEX($D$2:$D$201,MATCH(J137,$A$2:$A$201,0)),""))</f>
        <v/>
      </c>
      <c r="L137" s="10" t="str">
        <f aca="false">IF(K137="","",IFERROR(INDEX($D$2:$D$201,MATCH(K137,$A$2:$A$201,0)),""))</f>
        <v/>
      </c>
      <c r="M137" s="10" t="str">
        <f aca="false">IF(A137="","",IF(K137&lt;&gt;"",K137,IF(J137&lt;&gt;"",J137,IF(I137&lt;&gt;"",I137,IF(H137&lt;&gt;"",H137,A137)))))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10" t="str">
        <f aca="false">IF(A138="","",IF(K138&lt;&gt;"",IFERROR(IF(INDEX($E$2:$E$201,MATCH(K138,$A$2:$A$201,0))="",K138,INDEX($E$2:$E$201,MATCH(K138,$A$2:$A$201,0))),K138)&amp;"/","")&amp;IF(J138&lt;&gt;"",IFERROR(IF(INDEX($E$2:$E$201,MATCH(J138,$A$2:$A$201,0))="",J138,INDEX($E$2:$E$201,MATCH(J138,$A$2:$A$201,0))),J138)&amp;"/","")&amp;IF(I138&lt;&gt;"",IFERROR(IF(INDEX($E$2:$E$201,MATCH(I138,$A$2:$A$201,0))="",I138,INDEX($E$2:$E$201,MATCH(I138,$A$2:$A$201,0))),I138)&amp;"/","")&amp;IF(H138&lt;&gt;"",IFERROR(IF(INDEX($E$2:$E$201,MATCH(H138,$A$2:$A$201,0))="",H138,INDEX($E$2:$E$201,MATCH(H138,$A$2:$A$201,0))),H138)&amp;"/","")&amp;IF(E138="",A138,E138))</f>
        <v/>
      </c>
      <c r="G138" s="10" t="str">
        <f aca="false">IF(A138="","",IF(SUMPRODUCT(--EXACT($A$2:$A$201,A138))&gt;1,"Duplicate ID",IF(SUMPRODUCT(--EXACT('1 Types'!$A$2:$A$201,C138))=0,"Type is not on the Types sheet",IF(AND(D138&lt;&gt;"",NOT(SUMPRODUCT(--EXACT($A$2:$A$201,D138))&gt;0)),"Parent is not an asset",IF(AND(D138="",IFERROR(INDEX('1 Types'!$E$2:$E$201,MATCH(C138,'1 Types'!$A$2:$A$201,0)),"")&lt;&gt;"yes"),"Needs a parent",IF(OR(L138&lt;&gt;"",H138=A138,I138=A138,J138=A138,K138=A138),"Parent loop, or more than five levels","ok"))))))</f>
        <v/>
      </c>
      <c r="H138" s="10" t="str">
        <f aca="false">IF(A138="","",D138)</f>
        <v/>
      </c>
      <c r="I138" s="10" t="str">
        <f aca="false">IF(H138="","",IFERROR(INDEX($D$2:$D$201,MATCH(H138,$A$2:$A$201,0)),""))</f>
        <v/>
      </c>
      <c r="J138" s="10" t="str">
        <f aca="false">IF(I138="","",IFERROR(INDEX($D$2:$D$201,MATCH(I138,$A$2:$A$201,0)),""))</f>
        <v/>
      </c>
      <c r="K138" s="10" t="str">
        <f aca="false">IF(J138="","",IFERROR(INDEX($D$2:$D$201,MATCH(J138,$A$2:$A$201,0)),""))</f>
        <v/>
      </c>
      <c r="L138" s="10" t="str">
        <f aca="false">IF(K138="","",IFERROR(INDEX($D$2:$D$201,MATCH(K138,$A$2:$A$201,0)),""))</f>
        <v/>
      </c>
      <c r="M138" s="10" t="str">
        <f aca="false">IF(A138="","",IF(K138&lt;&gt;"",K138,IF(J138&lt;&gt;"",J138,IF(I138&lt;&gt;"",I138,IF(H138&lt;&gt;"",H138,A138)))))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10" t="str">
        <f aca="false">IF(A139="","",IF(K139&lt;&gt;"",IFERROR(IF(INDEX($E$2:$E$201,MATCH(K139,$A$2:$A$201,0))="",K139,INDEX($E$2:$E$201,MATCH(K139,$A$2:$A$201,0))),K139)&amp;"/","")&amp;IF(J139&lt;&gt;"",IFERROR(IF(INDEX($E$2:$E$201,MATCH(J139,$A$2:$A$201,0))="",J139,INDEX($E$2:$E$201,MATCH(J139,$A$2:$A$201,0))),J139)&amp;"/","")&amp;IF(I139&lt;&gt;"",IFERROR(IF(INDEX($E$2:$E$201,MATCH(I139,$A$2:$A$201,0))="",I139,INDEX($E$2:$E$201,MATCH(I139,$A$2:$A$201,0))),I139)&amp;"/","")&amp;IF(H139&lt;&gt;"",IFERROR(IF(INDEX($E$2:$E$201,MATCH(H139,$A$2:$A$201,0))="",H139,INDEX($E$2:$E$201,MATCH(H139,$A$2:$A$201,0))),H139)&amp;"/","")&amp;IF(E139="",A139,E139))</f>
        <v/>
      </c>
      <c r="G139" s="10" t="str">
        <f aca="false">IF(A139="","",IF(SUMPRODUCT(--EXACT($A$2:$A$201,A139))&gt;1,"Duplicate ID",IF(SUMPRODUCT(--EXACT('1 Types'!$A$2:$A$201,C139))=0,"Type is not on the Types sheet",IF(AND(D139&lt;&gt;"",NOT(SUMPRODUCT(--EXACT($A$2:$A$201,D139))&gt;0)),"Parent is not an asset",IF(AND(D139="",IFERROR(INDEX('1 Types'!$E$2:$E$201,MATCH(C139,'1 Types'!$A$2:$A$201,0)),"")&lt;&gt;"yes"),"Needs a parent",IF(OR(L139&lt;&gt;"",H139=A139,I139=A139,J139=A139,K139=A139),"Parent loop, or more than five levels","ok"))))))</f>
        <v/>
      </c>
      <c r="H139" s="10" t="str">
        <f aca="false">IF(A139="","",D139)</f>
        <v/>
      </c>
      <c r="I139" s="10" t="str">
        <f aca="false">IF(H139="","",IFERROR(INDEX($D$2:$D$201,MATCH(H139,$A$2:$A$201,0)),""))</f>
        <v/>
      </c>
      <c r="J139" s="10" t="str">
        <f aca="false">IF(I139="","",IFERROR(INDEX($D$2:$D$201,MATCH(I139,$A$2:$A$201,0)),""))</f>
        <v/>
      </c>
      <c r="K139" s="10" t="str">
        <f aca="false">IF(J139="","",IFERROR(INDEX($D$2:$D$201,MATCH(J139,$A$2:$A$201,0)),""))</f>
        <v/>
      </c>
      <c r="L139" s="10" t="str">
        <f aca="false">IF(K139="","",IFERROR(INDEX($D$2:$D$201,MATCH(K139,$A$2:$A$201,0)),""))</f>
        <v/>
      </c>
      <c r="M139" s="10" t="str">
        <f aca="false">IF(A139="","",IF(K139&lt;&gt;"",K139,IF(J139&lt;&gt;"",J139,IF(I139&lt;&gt;"",I139,IF(H139&lt;&gt;"",H139,A139)))))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10" t="str">
        <f aca="false">IF(A140="","",IF(K140&lt;&gt;"",IFERROR(IF(INDEX($E$2:$E$201,MATCH(K140,$A$2:$A$201,0))="",K140,INDEX($E$2:$E$201,MATCH(K140,$A$2:$A$201,0))),K140)&amp;"/","")&amp;IF(J140&lt;&gt;"",IFERROR(IF(INDEX($E$2:$E$201,MATCH(J140,$A$2:$A$201,0))="",J140,INDEX($E$2:$E$201,MATCH(J140,$A$2:$A$201,0))),J140)&amp;"/","")&amp;IF(I140&lt;&gt;"",IFERROR(IF(INDEX($E$2:$E$201,MATCH(I140,$A$2:$A$201,0))="",I140,INDEX($E$2:$E$201,MATCH(I140,$A$2:$A$201,0))),I140)&amp;"/","")&amp;IF(H140&lt;&gt;"",IFERROR(IF(INDEX($E$2:$E$201,MATCH(H140,$A$2:$A$201,0))="",H140,INDEX($E$2:$E$201,MATCH(H140,$A$2:$A$201,0))),H140)&amp;"/","")&amp;IF(E140="",A140,E140))</f>
        <v/>
      </c>
      <c r="G140" s="10" t="str">
        <f aca="false">IF(A140="","",IF(SUMPRODUCT(--EXACT($A$2:$A$201,A140))&gt;1,"Duplicate ID",IF(SUMPRODUCT(--EXACT('1 Types'!$A$2:$A$201,C140))=0,"Type is not on the Types sheet",IF(AND(D140&lt;&gt;"",NOT(SUMPRODUCT(--EXACT($A$2:$A$201,D140))&gt;0)),"Parent is not an asset",IF(AND(D140="",IFERROR(INDEX('1 Types'!$E$2:$E$201,MATCH(C140,'1 Types'!$A$2:$A$201,0)),"")&lt;&gt;"yes"),"Needs a parent",IF(OR(L140&lt;&gt;"",H140=A140,I140=A140,J140=A140,K140=A140),"Parent loop, or more than five levels","ok"))))))</f>
        <v/>
      </c>
      <c r="H140" s="10" t="str">
        <f aca="false">IF(A140="","",D140)</f>
        <v/>
      </c>
      <c r="I140" s="10" t="str">
        <f aca="false">IF(H140="","",IFERROR(INDEX($D$2:$D$201,MATCH(H140,$A$2:$A$201,0)),""))</f>
        <v/>
      </c>
      <c r="J140" s="10" t="str">
        <f aca="false">IF(I140="","",IFERROR(INDEX($D$2:$D$201,MATCH(I140,$A$2:$A$201,0)),""))</f>
        <v/>
      </c>
      <c r="K140" s="10" t="str">
        <f aca="false">IF(J140="","",IFERROR(INDEX($D$2:$D$201,MATCH(J140,$A$2:$A$201,0)),""))</f>
        <v/>
      </c>
      <c r="L140" s="10" t="str">
        <f aca="false">IF(K140="","",IFERROR(INDEX($D$2:$D$201,MATCH(K140,$A$2:$A$201,0)),""))</f>
        <v/>
      </c>
      <c r="M140" s="10" t="str">
        <f aca="false">IF(A140="","",IF(K140&lt;&gt;"",K140,IF(J140&lt;&gt;"",J140,IF(I140&lt;&gt;"",I140,IF(H140&lt;&gt;"",H140,A140)))))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10" t="str">
        <f aca="false">IF(A141="","",IF(K141&lt;&gt;"",IFERROR(IF(INDEX($E$2:$E$201,MATCH(K141,$A$2:$A$201,0))="",K141,INDEX($E$2:$E$201,MATCH(K141,$A$2:$A$201,0))),K141)&amp;"/","")&amp;IF(J141&lt;&gt;"",IFERROR(IF(INDEX($E$2:$E$201,MATCH(J141,$A$2:$A$201,0))="",J141,INDEX($E$2:$E$201,MATCH(J141,$A$2:$A$201,0))),J141)&amp;"/","")&amp;IF(I141&lt;&gt;"",IFERROR(IF(INDEX($E$2:$E$201,MATCH(I141,$A$2:$A$201,0))="",I141,INDEX($E$2:$E$201,MATCH(I141,$A$2:$A$201,0))),I141)&amp;"/","")&amp;IF(H141&lt;&gt;"",IFERROR(IF(INDEX($E$2:$E$201,MATCH(H141,$A$2:$A$201,0))="",H141,INDEX($E$2:$E$201,MATCH(H141,$A$2:$A$201,0))),H141)&amp;"/","")&amp;IF(E141="",A141,E141))</f>
        <v/>
      </c>
      <c r="G141" s="10" t="str">
        <f aca="false">IF(A141="","",IF(SUMPRODUCT(--EXACT($A$2:$A$201,A141))&gt;1,"Duplicate ID",IF(SUMPRODUCT(--EXACT('1 Types'!$A$2:$A$201,C141))=0,"Type is not on the Types sheet",IF(AND(D141&lt;&gt;"",NOT(SUMPRODUCT(--EXACT($A$2:$A$201,D141))&gt;0)),"Parent is not an asset",IF(AND(D141="",IFERROR(INDEX('1 Types'!$E$2:$E$201,MATCH(C141,'1 Types'!$A$2:$A$201,0)),"")&lt;&gt;"yes"),"Needs a parent",IF(OR(L141&lt;&gt;"",H141=A141,I141=A141,J141=A141,K141=A141),"Parent loop, or more than five levels","ok"))))))</f>
        <v/>
      </c>
      <c r="H141" s="10" t="str">
        <f aca="false">IF(A141="","",D141)</f>
        <v/>
      </c>
      <c r="I141" s="10" t="str">
        <f aca="false">IF(H141="","",IFERROR(INDEX($D$2:$D$201,MATCH(H141,$A$2:$A$201,0)),""))</f>
        <v/>
      </c>
      <c r="J141" s="10" t="str">
        <f aca="false">IF(I141="","",IFERROR(INDEX($D$2:$D$201,MATCH(I141,$A$2:$A$201,0)),""))</f>
        <v/>
      </c>
      <c r="K141" s="10" t="str">
        <f aca="false">IF(J141="","",IFERROR(INDEX($D$2:$D$201,MATCH(J141,$A$2:$A$201,0)),""))</f>
        <v/>
      </c>
      <c r="L141" s="10" t="str">
        <f aca="false">IF(K141="","",IFERROR(INDEX($D$2:$D$201,MATCH(K141,$A$2:$A$201,0)),""))</f>
        <v/>
      </c>
      <c r="M141" s="10" t="str">
        <f aca="false">IF(A141="","",IF(K141&lt;&gt;"",K141,IF(J141&lt;&gt;"",J141,IF(I141&lt;&gt;"",I141,IF(H141&lt;&gt;"",H141,A141)))))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10" t="str">
        <f aca="false">IF(A142="","",IF(K142&lt;&gt;"",IFERROR(IF(INDEX($E$2:$E$201,MATCH(K142,$A$2:$A$201,0))="",K142,INDEX($E$2:$E$201,MATCH(K142,$A$2:$A$201,0))),K142)&amp;"/","")&amp;IF(J142&lt;&gt;"",IFERROR(IF(INDEX($E$2:$E$201,MATCH(J142,$A$2:$A$201,0))="",J142,INDEX($E$2:$E$201,MATCH(J142,$A$2:$A$201,0))),J142)&amp;"/","")&amp;IF(I142&lt;&gt;"",IFERROR(IF(INDEX($E$2:$E$201,MATCH(I142,$A$2:$A$201,0))="",I142,INDEX($E$2:$E$201,MATCH(I142,$A$2:$A$201,0))),I142)&amp;"/","")&amp;IF(H142&lt;&gt;"",IFERROR(IF(INDEX($E$2:$E$201,MATCH(H142,$A$2:$A$201,0))="",H142,INDEX($E$2:$E$201,MATCH(H142,$A$2:$A$201,0))),H142)&amp;"/","")&amp;IF(E142="",A142,E142))</f>
        <v/>
      </c>
      <c r="G142" s="10" t="str">
        <f aca="false">IF(A142="","",IF(SUMPRODUCT(--EXACT($A$2:$A$201,A142))&gt;1,"Duplicate ID",IF(SUMPRODUCT(--EXACT('1 Types'!$A$2:$A$201,C142))=0,"Type is not on the Types sheet",IF(AND(D142&lt;&gt;"",NOT(SUMPRODUCT(--EXACT($A$2:$A$201,D142))&gt;0)),"Parent is not an asset",IF(AND(D142="",IFERROR(INDEX('1 Types'!$E$2:$E$201,MATCH(C142,'1 Types'!$A$2:$A$201,0)),"")&lt;&gt;"yes"),"Needs a parent",IF(OR(L142&lt;&gt;"",H142=A142,I142=A142,J142=A142,K142=A142),"Parent loop, or more than five levels","ok"))))))</f>
        <v/>
      </c>
      <c r="H142" s="10" t="str">
        <f aca="false">IF(A142="","",D142)</f>
        <v/>
      </c>
      <c r="I142" s="10" t="str">
        <f aca="false">IF(H142="","",IFERROR(INDEX($D$2:$D$201,MATCH(H142,$A$2:$A$201,0)),""))</f>
        <v/>
      </c>
      <c r="J142" s="10" t="str">
        <f aca="false">IF(I142="","",IFERROR(INDEX($D$2:$D$201,MATCH(I142,$A$2:$A$201,0)),""))</f>
        <v/>
      </c>
      <c r="K142" s="10" t="str">
        <f aca="false">IF(J142="","",IFERROR(INDEX($D$2:$D$201,MATCH(J142,$A$2:$A$201,0)),""))</f>
        <v/>
      </c>
      <c r="L142" s="10" t="str">
        <f aca="false">IF(K142="","",IFERROR(INDEX($D$2:$D$201,MATCH(K142,$A$2:$A$201,0)),""))</f>
        <v/>
      </c>
      <c r="M142" s="10" t="str">
        <f aca="false">IF(A142="","",IF(K142&lt;&gt;"",K142,IF(J142&lt;&gt;"",J142,IF(I142&lt;&gt;"",I142,IF(H142&lt;&gt;"",H142,A142)))))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10" t="str">
        <f aca="false">IF(A143="","",IF(K143&lt;&gt;"",IFERROR(IF(INDEX($E$2:$E$201,MATCH(K143,$A$2:$A$201,0))="",K143,INDEX($E$2:$E$201,MATCH(K143,$A$2:$A$201,0))),K143)&amp;"/","")&amp;IF(J143&lt;&gt;"",IFERROR(IF(INDEX($E$2:$E$201,MATCH(J143,$A$2:$A$201,0))="",J143,INDEX($E$2:$E$201,MATCH(J143,$A$2:$A$201,0))),J143)&amp;"/","")&amp;IF(I143&lt;&gt;"",IFERROR(IF(INDEX($E$2:$E$201,MATCH(I143,$A$2:$A$201,0))="",I143,INDEX($E$2:$E$201,MATCH(I143,$A$2:$A$201,0))),I143)&amp;"/","")&amp;IF(H143&lt;&gt;"",IFERROR(IF(INDEX($E$2:$E$201,MATCH(H143,$A$2:$A$201,0))="",H143,INDEX($E$2:$E$201,MATCH(H143,$A$2:$A$201,0))),H143)&amp;"/","")&amp;IF(E143="",A143,E143))</f>
        <v/>
      </c>
      <c r="G143" s="10" t="str">
        <f aca="false">IF(A143="","",IF(SUMPRODUCT(--EXACT($A$2:$A$201,A143))&gt;1,"Duplicate ID",IF(SUMPRODUCT(--EXACT('1 Types'!$A$2:$A$201,C143))=0,"Type is not on the Types sheet",IF(AND(D143&lt;&gt;"",NOT(SUMPRODUCT(--EXACT($A$2:$A$201,D143))&gt;0)),"Parent is not an asset",IF(AND(D143="",IFERROR(INDEX('1 Types'!$E$2:$E$201,MATCH(C143,'1 Types'!$A$2:$A$201,0)),"")&lt;&gt;"yes"),"Needs a parent",IF(OR(L143&lt;&gt;"",H143=A143,I143=A143,J143=A143,K143=A143),"Parent loop, or more than five levels","ok"))))))</f>
        <v/>
      </c>
      <c r="H143" s="10" t="str">
        <f aca="false">IF(A143="","",D143)</f>
        <v/>
      </c>
      <c r="I143" s="10" t="str">
        <f aca="false">IF(H143="","",IFERROR(INDEX($D$2:$D$201,MATCH(H143,$A$2:$A$201,0)),""))</f>
        <v/>
      </c>
      <c r="J143" s="10" t="str">
        <f aca="false">IF(I143="","",IFERROR(INDEX($D$2:$D$201,MATCH(I143,$A$2:$A$201,0)),""))</f>
        <v/>
      </c>
      <c r="K143" s="10" t="str">
        <f aca="false">IF(J143="","",IFERROR(INDEX($D$2:$D$201,MATCH(J143,$A$2:$A$201,0)),""))</f>
        <v/>
      </c>
      <c r="L143" s="10" t="str">
        <f aca="false">IF(K143="","",IFERROR(INDEX($D$2:$D$201,MATCH(K143,$A$2:$A$201,0)),""))</f>
        <v/>
      </c>
      <c r="M143" s="10" t="str">
        <f aca="false">IF(A143="","",IF(K143&lt;&gt;"",K143,IF(J143&lt;&gt;"",J143,IF(I143&lt;&gt;"",I143,IF(H143&lt;&gt;"",H143,A143)))))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10" t="str">
        <f aca="false">IF(A144="","",IF(K144&lt;&gt;"",IFERROR(IF(INDEX($E$2:$E$201,MATCH(K144,$A$2:$A$201,0))="",K144,INDEX($E$2:$E$201,MATCH(K144,$A$2:$A$201,0))),K144)&amp;"/","")&amp;IF(J144&lt;&gt;"",IFERROR(IF(INDEX($E$2:$E$201,MATCH(J144,$A$2:$A$201,0))="",J144,INDEX($E$2:$E$201,MATCH(J144,$A$2:$A$201,0))),J144)&amp;"/","")&amp;IF(I144&lt;&gt;"",IFERROR(IF(INDEX($E$2:$E$201,MATCH(I144,$A$2:$A$201,0))="",I144,INDEX($E$2:$E$201,MATCH(I144,$A$2:$A$201,0))),I144)&amp;"/","")&amp;IF(H144&lt;&gt;"",IFERROR(IF(INDEX($E$2:$E$201,MATCH(H144,$A$2:$A$201,0))="",H144,INDEX($E$2:$E$201,MATCH(H144,$A$2:$A$201,0))),H144)&amp;"/","")&amp;IF(E144="",A144,E144))</f>
        <v/>
      </c>
      <c r="G144" s="10" t="str">
        <f aca="false">IF(A144="","",IF(SUMPRODUCT(--EXACT($A$2:$A$201,A144))&gt;1,"Duplicate ID",IF(SUMPRODUCT(--EXACT('1 Types'!$A$2:$A$201,C144))=0,"Type is not on the Types sheet",IF(AND(D144&lt;&gt;"",NOT(SUMPRODUCT(--EXACT($A$2:$A$201,D144))&gt;0)),"Parent is not an asset",IF(AND(D144="",IFERROR(INDEX('1 Types'!$E$2:$E$201,MATCH(C144,'1 Types'!$A$2:$A$201,0)),"")&lt;&gt;"yes"),"Needs a parent",IF(OR(L144&lt;&gt;"",H144=A144,I144=A144,J144=A144,K144=A144),"Parent loop, or more than five levels","ok"))))))</f>
        <v/>
      </c>
      <c r="H144" s="10" t="str">
        <f aca="false">IF(A144="","",D144)</f>
        <v/>
      </c>
      <c r="I144" s="10" t="str">
        <f aca="false">IF(H144="","",IFERROR(INDEX($D$2:$D$201,MATCH(H144,$A$2:$A$201,0)),""))</f>
        <v/>
      </c>
      <c r="J144" s="10" t="str">
        <f aca="false">IF(I144="","",IFERROR(INDEX($D$2:$D$201,MATCH(I144,$A$2:$A$201,0)),""))</f>
        <v/>
      </c>
      <c r="K144" s="10" t="str">
        <f aca="false">IF(J144="","",IFERROR(INDEX($D$2:$D$201,MATCH(J144,$A$2:$A$201,0)),""))</f>
        <v/>
      </c>
      <c r="L144" s="10" t="str">
        <f aca="false">IF(K144="","",IFERROR(INDEX($D$2:$D$201,MATCH(K144,$A$2:$A$201,0)),""))</f>
        <v/>
      </c>
      <c r="M144" s="10" t="str">
        <f aca="false">IF(A144="","",IF(K144&lt;&gt;"",K144,IF(J144&lt;&gt;"",J144,IF(I144&lt;&gt;"",I144,IF(H144&lt;&gt;"",H144,A144)))))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10" t="str">
        <f aca="false">IF(A145="","",IF(K145&lt;&gt;"",IFERROR(IF(INDEX($E$2:$E$201,MATCH(K145,$A$2:$A$201,0))="",K145,INDEX($E$2:$E$201,MATCH(K145,$A$2:$A$201,0))),K145)&amp;"/","")&amp;IF(J145&lt;&gt;"",IFERROR(IF(INDEX($E$2:$E$201,MATCH(J145,$A$2:$A$201,0))="",J145,INDEX($E$2:$E$201,MATCH(J145,$A$2:$A$201,0))),J145)&amp;"/","")&amp;IF(I145&lt;&gt;"",IFERROR(IF(INDEX($E$2:$E$201,MATCH(I145,$A$2:$A$201,0))="",I145,INDEX($E$2:$E$201,MATCH(I145,$A$2:$A$201,0))),I145)&amp;"/","")&amp;IF(H145&lt;&gt;"",IFERROR(IF(INDEX($E$2:$E$201,MATCH(H145,$A$2:$A$201,0))="",H145,INDEX($E$2:$E$201,MATCH(H145,$A$2:$A$201,0))),H145)&amp;"/","")&amp;IF(E145="",A145,E145))</f>
        <v/>
      </c>
      <c r="G145" s="10" t="str">
        <f aca="false">IF(A145="","",IF(SUMPRODUCT(--EXACT($A$2:$A$201,A145))&gt;1,"Duplicate ID",IF(SUMPRODUCT(--EXACT('1 Types'!$A$2:$A$201,C145))=0,"Type is not on the Types sheet",IF(AND(D145&lt;&gt;"",NOT(SUMPRODUCT(--EXACT($A$2:$A$201,D145))&gt;0)),"Parent is not an asset",IF(AND(D145="",IFERROR(INDEX('1 Types'!$E$2:$E$201,MATCH(C145,'1 Types'!$A$2:$A$201,0)),"")&lt;&gt;"yes"),"Needs a parent",IF(OR(L145&lt;&gt;"",H145=A145,I145=A145,J145=A145,K145=A145),"Parent loop, or more than five levels","ok"))))))</f>
        <v/>
      </c>
      <c r="H145" s="10" t="str">
        <f aca="false">IF(A145="","",D145)</f>
        <v/>
      </c>
      <c r="I145" s="10" t="str">
        <f aca="false">IF(H145="","",IFERROR(INDEX($D$2:$D$201,MATCH(H145,$A$2:$A$201,0)),""))</f>
        <v/>
      </c>
      <c r="J145" s="10" t="str">
        <f aca="false">IF(I145="","",IFERROR(INDEX($D$2:$D$201,MATCH(I145,$A$2:$A$201,0)),""))</f>
        <v/>
      </c>
      <c r="K145" s="10" t="str">
        <f aca="false">IF(J145="","",IFERROR(INDEX($D$2:$D$201,MATCH(J145,$A$2:$A$201,0)),""))</f>
        <v/>
      </c>
      <c r="L145" s="10" t="str">
        <f aca="false">IF(K145="","",IFERROR(INDEX($D$2:$D$201,MATCH(K145,$A$2:$A$201,0)),""))</f>
        <v/>
      </c>
      <c r="M145" s="10" t="str">
        <f aca="false">IF(A145="","",IF(K145&lt;&gt;"",K145,IF(J145&lt;&gt;"",J145,IF(I145&lt;&gt;"",I145,IF(H145&lt;&gt;"",H145,A145)))))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10" t="str">
        <f aca="false">IF(A146="","",IF(K146&lt;&gt;"",IFERROR(IF(INDEX($E$2:$E$201,MATCH(K146,$A$2:$A$201,0))="",K146,INDEX($E$2:$E$201,MATCH(K146,$A$2:$A$201,0))),K146)&amp;"/","")&amp;IF(J146&lt;&gt;"",IFERROR(IF(INDEX($E$2:$E$201,MATCH(J146,$A$2:$A$201,0))="",J146,INDEX($E$2:$E$201,MATCH(J146,$A$2:$A$201,0))),J146)&amp;"/","")&amp;IF(I146&lt;&gt;"",IFERROR(IF(INDEX($E$2:$E$201,MATCH(I146,$A$2:$A$201,0))="",I146,INDEX($E$2:$E$201,MATCH(I146,$A$2:$A$201,0))),I146)&amp;"/","")&amp;IF(H146&lt;&gt;"",IFERROR(IF(INDEX($E$2:$E$201,MATCH(H146,$A$2:$A$201,0))="",H146,INDEX($E$2:$E$201,MATCH(H146,$A$2:$A$201,0))),H146)&amp;"/","")&amp;IF(E146="",A146,E146))</f>
        <v/>
      </c>
      <c r="G146" s="10" t="str">
        <f aca="false">IF(A146="","",IF(SUMPRODUCT(--EXACT($A$2:$A$201,A146))&gt;1,"Duplicate ID",IF(SUMPRODUCT(--EXACT('1 Types'!$A$2:$A$201,C146))=0,"Type is not on the Types sheet",IF(AND(D146&lt;&gt;"",NOT(SUMPRODUCT(--EXACT($A$2:$A$201,D146))&gt;0)),"Parent is not an asset",IF(AND(D146="",IFERROR(INDEX('1 Types'!$E$2:$E$201,MATCH(C146,'1 Types'!$A$2:$A$201,0)),"")&lt;&gt;"yes"),"Needs a parent",IF(OR(L146&lt;&gt;"",H146=A146,I146=A146,J146=A146,K146=A146),"Parent loop, or more than five levels","ok"))))))</f>
        <v/>
      </c>
      <c r="H146" s="10" t="str">
        <f aca="false">IF(A146="","",D146)</f>
        <v/>
      </c>
      <c r="I146" s="10" t="str">
        <f aca="false">IF(H146="","",IFERROR(INDEX($D$2:$D$201,MATCH(H146,$A$2:$A$201,0)),""))</f>
        <v/>
      </c>
      <c r="J146" s="10" t="str">
        <f aca="false">IF(I146="","",IFERROR(INDEX($D$2:$D$201,MATCH(I146,$A$2:$A$201,0)),""))</f>
        <v/>
      </c>
      <c r="K146" s="10" t="str">
        <f aca="false">IF(J146="","",IFERROR(INDEX($D$2:$D$201,MATCH(J146,$A$2:$A$201,0)),""))</f>
        <v/>
      </c>
      <c r="L146" s="10" t="str">
        <f aca="false">IF(K146="","",IFERROR(INDEX($D$2:$D$201,MATCH(K146,$A$2:$A$201,0)),""))</f>
        <v/>
      </c>
      <c r="M146" s="10" t="str">
        <f aca="false">IF(A146="","",IF(K146&lt;&gt;"",K146,IF(J146&lt;&gt;"",J146,IF(I146&lt;&gt;"",I146,IF(H146&lt;&gt;"",H146,A146)))))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10" t="str">
        <f aca="false">IF(A147="","",IF(K147&lt;&gt;"",IFERROR(IF(INDEX($E$2:$E$201,MATCH(K147,$A$2:$A$201,0))="",K147,INDEX($E$2:$E$201,MATCH(K147,$A$2:$A$201,0))),K147)&amp;"/","")&amp;IF(J147&lt;&gt;"",IFERROR(IF(INDEX($E$2:$E$201,MATCH(J147,$A$2:$A$201,0))="",J147,INDEX($E$2:$E$201,MATCH(J147,$A$2:$A$201,0))),J147)&amp;"/","")&amp;IF(I147&lt;&gt;"",IFERROR(IF(INDEX($E$2:$E$201,MATCH(I147,$A$2:$A$201,0))="",I147,INDEX($E$2:$E$201,MATCH(I147,$A$2:$A$201,0))),I147)&amp;"/","")&amp;IF(H147&lt;&gt;"",IFERROR(IF(INDEX($E$2:$E$201,MATCH(H147,$A$2:$A$201,0))="",H147,INDEX($E$2:$E$201,MATCH(H147,$A$2:$A$201,0))),H147)&amp;"/","")&amp;IF(E147="",A147,E147))</f>
        <v/>
      </c>
      <c r="G147" s="10" t="str">
        <f aca="false">IF(A147="","",IF(SUMPRODUCT(--EXACT($A$2:$A$201,A147))&gt;1,"Duplicate ID",IF(SUMPRODUCT(--EXACT('1 Types'!$A$2:$A$201,C147))=0,"Type is not on the Types sheet",IF(AND(D147&lt;&gt;"",NOT(SUMPRODUCT(--EXACT($A$2:$A$201,D147))&gt;0)),"Parent is not an asset",IF(AND(D147="",IFERROR(INDEX('1 Types'!$E$2:$E$201,MATCH(C147,'1 Types'!$A$2:$A$201,0)),"")&lt;&gt;"yes"),"Needs a parent",IF(OR(L147&lt;&gt;"",H147=A147,I147=A147,J147=A147,K147=A147),"Parent loop, or more than five levels","ok"))))))</f>
        <v/>
      </c>
      <c r="H147" s="10" t="str">
        <f aca="false">IF(A147="","",D147)</f>
        <v/>
      </c>
      <c r="I147" s="10" t="str">
        <f aca="false">IF(H147="","",IFERROR(INDEX($D$2:$D$201,MATCH(H147,$A$2:$A$201,0)),""))</f>
        <v/>
      </c>
      <c r="J147" s="10" t="str">
        <f aca="false">IF(I147="","",IFERROR(INDEX($D$2:$D$201,MATCH(I147,$A$2:$A$201,0)),""))</f>
        <v/>
      </c>
      <c r="K147" s="10" t="str">
        <f aca="false">IF(J147="","",IFERROR(INDEX($D$2:$D$201,MATCH(J147,$A$2:$A$201,0)),""))</f>
        <v/>
      </c>
      <c r="L147" s="10" t="str">
        <f aca="false">IF(K147="","",IFERROR(INDEX($D$2:$D$201,MATCH(K147,$A$2:$A$201,0)),""))</f>
        <v/>
      </c>
      <c r="M147" s="10" t="str">
        <f aca="false">IF(A147="","",IF(K147&lt;&gt;"",K147,IF(J147&lt;&gt;"",J147,IF(I147&lt;&gt;"",I147,IF(H147&lt;&gt;"",H147,A147)))))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10" t="str">
        <f aca="false">IF(A148="","",IF(K148&lt;&gt;"",IFERROR(IF(INDEX($E$2:$E$201,MATCH(K148,$A$2:$A$201,0))="",K148,INDEX($E$2:$E$201,MATCH(K148,$A$2:$A$201,0))),K148)&amp;"/","")&amp;IF(J148&lt;&gt;"",IFERROR(IF(INDEX($E$2:$E$201,MATCH(J148,$A$2:$A$201,0))="",J148,INDEX($E$2:$E$201,MATCH(J148,$A$2:$A$201,0))),J148)&amp;"/","")&amp;IF(I148&lt;&gt;"",IFERROR(IF(INDEX($E$2:$E$201,MATCH(I148,$A$2:$A$201,0))="",I148,INDEX($E$2:$E$201,MATCH(I148,$A$2:$A$201,0))),I148)&amp;"/","")&amp;IF(H148&lt;&gt;"",IFERROR(IF(INDEX($E$2:$E$201,MATCH(H148,$A$2:$A$201,0))="",H148,INDEX($E$2:$E$201,MATCH(H148,$A$2:$A$201,0))),H148)&amp;"/","")&amp;IF(E148="",A148,E148))</f>
        <v/>
      </c>
      <c r="G148" s="10" t="str">
        <f aca="false">IF(A148="","",IF(SUMPRODUCT(--EXACT($A$2:$A$201,A148))&gt;1,"Duplicate ID",IF(SUMPRODUCT(--EXACT('1 Types'!$A$2:$A$201,C148))=0,"Type is not on the Types sheet",IF(AND(D148&lt;&gt;"",NOT(SUMPRODUCT(--EXACT($A$2:$A$201,D148))&gt;0)),"Parent is not an asset",IF(AND(D148="",IFERROR(INDEX('1 Types'!$E$2:$E$201,MATCH(C148,'1 Types'!$A$2:$A$201,0)),"")&lt;&gt;"yes"),"Needs a parent",IF(OR(L148&lt;&gt;"",H148=A148,I148=A148,J148=A148,K148=A148),"Parent loop, or more than five levels","ok"))))))</f>
        <v/>
      </c>
      <c r="H148" s="10" t="str">
        <f aca="false">IF(A148="","",D148)</f>
        <v/>
      </c>
      <c r="I148" s="10" t="str">
        <f aca="false">IF(H148="","",IFERROR(INDEX($D$2:$D$201,MATCH(H148,$A$2:$A$201,0)),""))</f>
        <v/>
      </c>
      <c r="J148" s="10" t="str">
        <f aca="false">IF(I148="","",IFERROR(INDEX($D$2:$D$201,MATCH(I148,$A$2:$A$201,0)),""))</f>
        <v/>
      </c>
      <c r="K148" s="10" t="str">
        <f aca="false">IF(J148="","",IFERROR(INDEX($D$2:$D$201,MATCH(J148,$A$2:$A$201,0)),""))</f>
        <v/>
      </c>
      <c r="L148" s="10" t="str">
        <f aca="false">IF(K148="","",IFERROR(INDEX($D$2:$D$201,MATCH(K148,$A$2:$A$201,0)),""))</f>
        <v/>
      </c>
      <c r="M148" s="10" t="str">
        <f aca="false">IF(A148="","",IF(K148&lt;&gt;"",K148,IF(J148&lt;&gt;"",J148,IF(I148&lt;&gt;"",I148,IF(H148&lt;&gt;"",H148,A148)))))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10" t="str">
        <f aca="false">IF(A149="","",IF(K149&lt;&gt;"",IFERROR(IF(INDEX($E$2:$E$201,MATCH(K149,$A$2:$A$201,0))="",K149,INDEX($E$2:$E$201,MATCH(K149,$A$2:$A$201,0))),K149)&amp;"/","")&amp;IF(J149&lt;&gt;"",IFERROR(IF(INDEX($E$2:$E$201,MATCH(J149,$A$2:$A$201,0))="",J149,INDEX($E$2:$E$201,MATCH(J149,$A$2:$A$201,0))),J149)&amp;"/","")&amp;IF(I149&lt;&gt;"",IFERROR(IF(INDEX($E$2:$E$201,MATCH(I149,$A$2:$A$201,0))="",I149,INDEX($E$2:$E$201,MATCH(I149,$A$2:$A$201,0))),I149)&amp;"/","")&amp;IF(H149&lt;&gt;"",IFERROR(IF(INDEX($E$2:$E$201,MATCH(H149,$A$2:$A$201,0))="",H149,INDEX($E$2:$E$201,MATCH(H149,$A$2:$A$201,0))),H149)&amp;"/","")&amp;IF(E149="",A149,E149))</f>
        <v/>
      </c>
      <c r="G149" s="10" t="str">
        <f aca="false">IF(A149="","",IF(SUMPRODUCT(--EXACT($A$2:$A$201,A149))&gt;1,"Duplicate ID",IF(SUMPRODUCT(--EXACT('1 Types'!$A$2:$A$201,C149))=0,"Type is not on the Types sheet",IF(AND(D149&lt;&gt;"",NOT(SUMPRODUCT(--EXACT($A$2:$A$201,D149))&gt;0)),"Parent is not an asset",IF(AND(D149="",IFERROR(INDEX('1 Types'!$E$2:$E$201,MATCH(C149,'1 Types'!$A$2:$A$201,0)),"")&lt;&gt;"yes"),"Needs a parent",IF(OR(L149&lt;&gt;"",H149=A149,I149=A149,J149=A149,K149=A149),"Parent loop, or more than five levels","ok"))))))</f>
        <v/>
      </c>
      <c r="H149" s="10" t="str">
        <f aca="false">IF(A149="","",D149)</f>
        <v/>
      </c>
      <c r="I149" s="10" t="str">
        <f aca="false">IF(H149="","",IFERROR(INDEX($D$2:$D$201,MATCH(H149,$A$2:$A$201,0)),""))</f>
        <v/>
      </c>
      <c r="J149" s="10" t="str">
        <f aca="false">IF(I149="","",IFERROR(INDEX($D$2:$D$201,MATCH(I149,$A$2:$A$201,0)),""))</f>
        <v/>
      </c>
      <c r="K149" s="10" t="str">
        <f aca="false">IF(J149="","",IFERROR(INDEX($D$2:$D$201,MATCH(J149,$A$2:$A$201,0)),""))</f>
        <v/>
      </c>
      <c r="L149" s="10" t="str">
        <f aca="false">IF(K149="","",IFERROR(INDEX($D$2:$D$201,MATCH(K149,$A$2:$A$201,0)),""))</f>
        <v/>
      </c>
      <c r="M149" s="10" t="str">
        <f aca="false">IF(A149="","",IF(K149&lt;&gt;"",K149,IF(J149&lt;&gt;"",J149,IF(I149&lt;&gt;"",I149,IF(H149&lt;&gt;"",H149,A149)))))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10" t="str">
        <f aca="false">IF(A150="","",IF(K150&lt;&gt;"",IFERROR(IF(INDEX($E$2:$E$201,MATCH(K150,$A$2:$A$201,0))="",K150,INDEX($E$2:$E$201,MATCH(K150,$A$2:$A$201,0))),K150)&amp;"/","")&amp;IF(J150&lt;&gt;"",IFERROR(IF(INDEX($E$2:$E$201,MATCH(J150,$A$2:$A$201,0))="",J150,INDEX($E$2:$E$201,MATCH(J150,$A$2:$A$201,0))),J150)&amp;"/","")&amp;IF(I150&lt;&gt;"",IFERROR(IF(INDEX($E$2:$E$201,MATCH(I150,$A$2:$A$201,0))="",I150,INDEX($E$2:$E$201,MATCH(I150,$A$2:$A$201,0))),I150)&amp;"/","")&amp;IF(H150&lt;&gt;"",IFERROR(IF(INDEX($E$2:$E$201,MATCH(H150,$A$2:$A$201,0))="",H150,INDEX($E$2:$E$201,MATCH(H150,$A$2:$A$201,0))),H150)&amp;"/","")&amp;IF(E150="",A150,E150))</f>
        <v/>
      </c>
      <c r="G150" s="10" t="str">
        <f aca="false">IF(A150="","",IF(SUMPRODUCT(--EXACT($A$2:$A$201,A150))&gt;1,"Duplicate ID",IF(SUMPRODUCT(--EXACT('1 Types'!$A$2:$A$201,C150))=0,"Type is not on the Types sheet",IF(AND(D150&lt;&gt;"",NOT(SUMPRODUCT(--EXACT($A$2:$A$201,D150))&gt;0)),"Parent is not an asset",IF(AND(D150="",IFERROR(INDEX('1 Types'!$E$2:$E$201,MATCH(C150,'1 Types'!$A$2:$A$201,0)),"")&lt;&gt;"yes"),"Needs a parent",IF(OR(L150&lt;&gt;"",H150=A150,I150=A150,J150=A150,K150=A150),"Parent loop, or more than five levels","ok"))))))</f>
        <v/>
      </c>
      <c r="H150" s="10" t="str">
        <f aca="false">IF(A150="","",D150)</f>
        <v/>
      </c>
      <c r="I150" s="10" t="str">
        <f aca="false">IF(H150="","",IFERROR(INDEX($D$2:$D$201,MATCH(H150,$A$2:$A$201,0)),""))</f>
        <v/>
      </c>
      <c r="J150" s="10" t="str">
        <f aca="false">IF(I150="","",IFERROR(INDEX($D$2:$D$201,MATCH(I150,$A$2:$A$201,0)),""))</f>
        <v/>
      </c>
      <c r="K150" s="10" t="str">
        <f aca="false">IF(J150="","",IFERROR(INDEX($D$2:$D$201,MATCH(J150,$A$2:$A$201,0)),""))</f>
        <v/>
      </c>
      <c r="L150" s="10" t="str">
        <f aca="false">IF(K150="","",IFERROR(INDEX($D$2:$D$201,MATCH(K150,$A$2:$A$201,0)),""))</f>
        <v/>
      </c>
      <c r="M150" s="10" t="str">
        <f aca="false">IF(A150="","",IF(K150&lt;&gt;"",K150,IF(J150&lt;&gt;"",J150,IF(I150&lt;&gt;"",I150,IF(H150&lt;&gt;"",H150,A150)))))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10" t="str">
        <f aca="false">IF(A151="","",IF(K151&lt;&gt;"",IFERROR(IF(INDEX($E$2:$E$201,MATCH(K151,$A$2:$A$201,0))="",K151,INDEX($E$2:$E$201,MATCH(K151,$A$2:$A$201,0))),K151)&amp;"/","")&amp;IF(J151&lt;&gt;"",IFERROR(IF(INDEX($E$2:$E$201,MATCH(J151,$A$2:$A$201,0))="",J151,INDEX($E$2:$E$201,MATCH(J151,$A$2:$A$201,0))),J151)&amp;"/","")&amp;IF(I151&lt;&gt;"",IFERROR(IF(INDEX($E$2:$E$201,MATCH(I151,$A$2:$A$201,0))="",I151,INDEX($E$2:$E$201,MATCH(I151,$A$2:$A$201,0))),I151)&amp;"/","")&amp;IF(H151&lt;&gt;"",IFERROR(IF(INDEX($E$2:$E$201,MATCH(H151,$A$2:$A$201,0))="",H151,INDEX($E$2:$E$201,MATCH(H151,$A$2:$A$201,0))),H151)&amp;"/","")&amp;IF(E151="",A151,E151))</f>
        <v/>
      </c>
      <c r="G151" s="10" t="str">
        <f aca="false">IF(A151="","",IF(SUMPRODUCT(--EXACT($A$2:$A$201,A151))&gt;1,"Duplicate ID",IF(SUMPRODUCT(--EXACT('1 Types'!$A$2:$A$201,C151))=0,"Type is not on the Types sheet",IF(AND(D151&lt;&gt;"",NOT(SUMPRODUCT(--EXACT($A$2:$A$201,D151))&gt;0)),"Parent is not an asset",IF(AND(D151="",IFERROR(INDEX('1 Types'!$E$2:$E$201,MATCH(C151,'1 Types'!$A$2:$A$201,0)),"")&lt;&gt;"yes"),"Needs a parent",IF(OR(L151&lt;&gt;"",H151=A151,I151=A151,J151=A151,K151=A151),"Parent loop, or more than five levels","ok"))))))</f>
        <v/>
      </c>
      <c r="H151" s="10" t="str">
        <f aca="false">IF(A151="","",D151)</f>
        <v/>
      </c>
      <c r="I151" s="10" t="str">
        <f aca="false">IF(H151="","",IFERROR(INDEX($D$2:$D$201,MATCH(H151,$A$2:$A$201,0)),""))</f>
        <v/>
      </c>
      <c r="J151" s="10" t="str">
        <f aca="false">IF(I151="","",IFERROR(INDEX($D$2:$D$201,MATCH(I151,$A$2:$A$201,0)),""))</f>
        <v/>
      </c>
      <c r="K151" s="10" t="str">
        <f aca="false">IF(J151="","",IFERROR(INDEX($D$2:$D$201,MATCH(J151,$A$2:$A$201,0)),""))</f>
        <v/>
      </c>
      <c r="L151" s="10" t="str">
        <f aca="false">IF(K151="","",IFERROR(INDEX($D$2:$D$201,MATCH(K151,$A$2:$A$201,0)),""))</f>
        <v/>
      </c>
      <c r="M151" s="10" t="str">
        <f aca="false">IF(A151="","",IF(K151&lt;&gt;"",K151,IF(J151&lt;&gt;"",J151,IF(I151&lt;&gt;"",I151,IF(H151&lt;&gt;"",H151,A151)))))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10" t="str">
        <f aca="false">IF(A152="","",IF(K152&lt;&gt;"",IFERROR(IF(INDEX($E$2:$E$201,MATCH(K152,$A$2:$A$201,0))="",K152,INDEX($E$2:$E$201,MATCH(K152,$A$2:$A$201,0))),K152)&amp;"/","")&amp;IF(J152&lt;&gt;"",IFERROR(IF(INDEX($E$2:$E$201,MATCH(J152,$A$2:$A$201,0))="",J152,INDEX($E$2:$E$201,MATCH(J152,$A$2:$A$201,0))),J152)&amp;"/","")&amp;IF(I152&lt;&gt;"",IFERROR(IF(INDEX($E$2:$E$201,MATCH(I152,$A$2:$A$201,0))="",I152,INDEX($E$2:$E$201,MATCH(I152,$A$2:$A$201,0))),I152)&amp;"/","")&amp;IF(H152&lt;&gt;"",IFERROR(IF(INDEX($E$2:$E$201,MATCH(H152,$A$2:$A$201,0))="",H152,INDEX($E$2:$E$201,MATCH(H152,$A$2:$A$201,0))),H152)&amp;"/","")&amp;IF(E152="",A152,E152))</f>
        <v/>
      </c>
      <c r="G152" s="10" t="str">
        <f aca="false">IF(A152="","",IF(SUMPRODUCT(--EXACT($A$2:$A$201,A152))&gt;1,"Duplicate ID",IF(SUMPRODUCT(--EXACT('1 Types'!$A$2:$A$201,C152))=0,"Type is not on the Types sheet",IF(AND(D152&lt;&gt;"",NOT(SUMPRODUCT(--EXACT($A$2:$A$201,D152))&gt;0)),"Parent is not an asset",IF(AND(D152="",IFERROR(INDEX('1 Types'!$E$2:$E$201,MATCH(C152,'1 Types'!$A$2:$A$201,0)),"")&lt;&gt;"yes"),"Needs a parent",IF(OR(L152&lt;&gt;"",H152=A152,I152=A152,J152=A152,K152=A152),"Parent loop, or more than five levels","ok"))))))</f>
        <v/>
      </c>
      <c r="H152" s="10" t="str">
        <f aca="false">IF(A152="","",D152)</f>
        <v/>
      </c>
      <c r="I152" s="10" t="str">
        <f aca="false">IF(H152="","",IFERROR(INDEX($D$2:$D$201,MATCH(H152,$A$2:$A$201,0)),""))</f>
        <v/>
      </c>
      <c r="J152" s="10" t="str">
        <f aca="false">IF(I152="","",IFERROR(INDEX($D$2:$D$201,MATCH(I152,$A$2:$A$201,0)),""))</f>
        <v/>
      </c>
      <c r="K152" s="10" t="str">
        <f aca="false">IF(J152="","",IFERROR(INDEX($D$2:$D$201,MATCH(J152,$A$2:$A$201,0)),""))</f>
        <v/>
      </c>
      <c r="L152" s="10" t="str">
        <f aca="false">IF(K152="","",IFERROR(INDEX($D$2:$D$201,MATCH(K152,$A$2:$A$201,0)),""))</f>
        <v/>
      </c>
      <c r="M152" s="10" t="str">
        <f aca="false">IF(A152="","",IF(K152&lt;&gt;"",K152,IF(J152&lt;&gt;"",J152,IF(I152&lt;&gt;"",I152,IF(H152&lt;&gt;"",H152,A152)))))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10" t="str">
        <f aca="false">IF(A153="","",IF(K153&lt;&gt;"",IFERROR(IF(INDEX($E$2:$E$201,MATCH(K153,$A$2:$A$201,0))="",K153,INDEX($E$2:$E$201,MATCH(K153,$A$2:$A$201,0))),K153)&amp;"/","")&amp;IF(J153&lt;&gt;"",IFERROR(IF(INDEX($E$2:$E$201,MATCH(J153,$A$2:$A$201,0))="",J153,INDEX($E$2:$E$201,MATCH(J153,$A$2:$A$201,0))),J153)&amp;"/","")&amp;IF(I153&lt;&gt;"",IFERROR(IF(INDEX($E$2:$E$201,MATCH(I153,$A$2:$A$201,0))="",I153,INDEX($E$2:$E$201,MATCH(I153,$A$2:$A$201,0))),I153)&amp;"/","")&amp;IF(H153&lt;&gt;"",IFERROR(IF(INDEX($E$2:$E$201,MATCH(H153,$A$2:$A$201,0))="",H153,INDEX($E$2:$E$201,MATCH(H153,$A$2:$A$201,0))),H153)&amp;"/","")&amp;IF(E153="",A153,E153))</f>
        <v/>
      </c>
      <c r="G153" s="10" t="str">
        <f aca="false">IF(A153="","",IF(SUMPRODUCT(--EXACT($A$2:$A$201,A153))&gt;1,"Duplicate ID",IF(SUMPRODUCT(--EXACT('1 Types'!$A$2:$A$201,C153))=0,"Type is not on the Types sheet",IF(AND(D153&lt;&gt;"",NOT(SUMPRODUCT(--EXACT($A$2:$A$201,D153))&gt;0)),"Parent is not an asset",IF(AND(D153="",IFERROR(INDEX('1 Types'!$E$2:$E$201,MATCH(C153,'1 Types'!$A$2:$A$201,0)),"")&lt;&gt;"yes"),"Needs a parent",IF(OR(L153&lt;&gt;"",H153=A153,I153=A153,J153=A153,K153=A153),"Parent loop, or more than five levels","ok"))))))</f>
        <v/>
      </c>
      <c r="H153" s="10" t="str">
        <f aca="false">IF(A153="","",D153)</f>
        <v/>
      </c>
      <c r="I153" s="10" t="str">
        <f aca="false">IF(H153="","",IFERROR(INDEX($D$2:$D$201,MATCH(H153,$A$2:$A$201,0)),""))</f>
        <v/>
      </c>
      <c r="J153" s="10" t="str">
        <f aca="false">IF(I153="","",IFERROR(INDEX($D$2:$D$201,MATCH(I153,$A$2:$A$201,0)),""))</f>
        <v/>
      </c>
      <c r="K153" s="10" t="str">
        <f aca="false">IF(J153="","",IFERROR(INDEX($D$2:$D$201,MATCH(J153,$A$2:$A$201,0)),""))</f>
        <v/>
      </c>
      <c r="L153" s="10" t="str">
        <f aca="false">IF(K153="","",IFERROR(INDEX($D$2:$D$201,MATCH(K153,$A$2:$A$201,0)),""))</f>
        <v/>
      </c>
      <c r="M153" s="10" t="str">
        <f aca="false">IF(A153="","",IF(K153&lt;&gt;"",K153,IF(J153&lt;&gt;"",J153,IF(I153&lt;&gt;"",I153,IF(H153&lt;&gt;"",H153,A153)))))</f>
        <v/>
      </c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10" t="str">
        <f aca="false">IF(A154="","",IF(K154&lt;&gt;"",IFERROR(IF(INDEX($E$2:$E$201,MATCH(K154,$A$2:$A$201,0))="",K154,INDEX($E$2:$E$201,MATCH(K154,$A$2:$A$201,0))),K154)&amp;"/","")&amp;IF(J154&lt;&gt;"",IFERROR(IF(INDEX($E$2:$E$201,MATCH(J154,$A$2:$A$201,0))="",J154,INDEX($E$2:$E$201,MATCH(J154,$A$2:$A$201,0))),J154)&amp;"/","")&amp;IF(I154&lt;&gt;"",IFERROR(IF(INDEX($E$2:$E$201,MATCH(I154,$A$2:$A$201,0))="",I154,INDEX($E$2:$E$201,MATCH(I154,$A$2:$A$201,0))),I154)&amp;"/","")&amp;IF(H154&lt;&gt;"",IFERROR(IF(INDEX($E$2:$E$201,MATCH(H154,$A$2:$A$201,0))="",H154,INDEX($E$2:$E$201,MATCH(H154,$A$2:$A$201,0))),H154)&amp;"/","")&amp;IF(E154="",A154,E154))</f>
        <v/>
      </c>
      <c r="G154" s="10" t="str">
        <f aca="false">IF(A154="","",IF(SUMPRODUCT(--EXACT($A$2:$A$201,A154))&gt;1,"Duplicate ID",IF(SUMPRODUCT(--EXACT('1 Types'!$A$2:$A$201,C154))=0,"Type is not on the Types sheet",IF(AND(D154&lt;&gt;"",NOT(SUMPRODUCT(--EXACT($A$2:$A$201,D154))&gt;0)),"Parent is not an asset",IF(AND(D154="",IFERROR(INDEX('1 Types'!$E$2:$E$201,MATCH(C154,'1 Types'!$A$2:$A$201,0)),"")&lt;&gt;"yes"),"Needs a parent",IF(OR(L154&lt;&gt;"",H154=A154,I154=A154,J154=A154,K154=A154),"Parent loop, or more than five levels","ok"))))))</f>
        <v/>
      </c>
      <c r="H154" s="10" t="str">
        <f aca="false">IF(A154="","",D154)</f>
        <v/>
      </c>
      <c r="I154" s="10" t="str">
        <f aca="false">IF(H154="","",IFERROR(INDEX($D$2:$D$201,MATCH(H154,$A$2:$A$201,0)),""))</f>
        <v/>
      </c>
      <c r="J154" s="10" t="str">
        <f aca="false">IF(I154="","",IFERROR(INDEX($D$2:$D$201,MATCH(I154,$A$2:$A$201,0)),""))</f>
        <v/>
      </c>
      <c r="K154" s="10" t="str">
        <f aca="false">IF(J154="","",IFERROR(INDEX($D$2:$D$201,MATCH(J154,$A$2:$A$201,0)),""))</f>
        <v/>
      </c>
      <c r="L154" s="10" t="str">
        <f aca="false">IF(K154="","",IFERROR(INDEX($D$2:$D$201,MATCH(K154,$A$2:$A$201,0)),""))</f>
        <v/>
      </c>
      <c r="M154" s="10" t="str">
        <f aca="false">IF(A154="","",IF(K154&lt;&gt;"",K154,IF(J154&lt;&gt;"",J154,IF(I154&lt;&gt;"",I154,IF(H154&lt;&gt;"",H154,A154)))))</f>
        <v/>
      </c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10" t="str">
        <f aca="false">IF(A155="","",IF(K155&lt;&gt;"",IFERROR(IF(INDEX($E$2:$E$201,MATCH(K155,$A$2:$A$201,0))="",K155,INDEX($E$2:$E$201,MATCH(K155,$A$2:$A$201,0))),K155)&amp;"/","")&amp;IF(J155&lt;&gt;"",IFERROR(IF(INDEX($E$2:$E$201,MATCH(J155,$A$2:$A$201,0))="",J155,INDEX($E$2:$E$201,MATCH(J155,$A$2:$A$201,0))),J155)&amp;"/","")&amp;IF(I155&lt;&gt;"",IFERROR(IF(INDEX($E$2:$E$201,MATCH(I155,$A$2:$A$201,0))="",I155,INDEX($E$2:$E$201,MATCH(I155,$A$2:$A$201,0))),I155)&amp;"/","")&amp;IF(H155&lt;&gt;"",IFERROR(IF(INDEX($E$2:$E$201,MATCH(H155,$A$2:$A$201,0))="",H155,INDEX($E$2:$E$201,MATCH(H155,$A$2:$A$201,0))),H155)&amp;"/","")&amp;IF(E155="",A155,E155))</f>
        <v/>
      </c>
      <c r="G155" s="10" t="str">
        <f aca="false">IF(A155="","",IF(SUMPRODUCT(--EXACT($A$2:$A$201,A155))&gt;1,"Duplicate ID",IF(SUMPRODUCT(--EXACT('1 Types'!$A$2:$A$201,C155))=0,"Type is not on the Types sheet",IF(AND(D155&lt;&gt;"",NOT(SUMPRODUCT(--EXACT($A$2:$A$201,D155))&gt;0)),"Parent is not an asset",IF(AND(D155="",IFERROR(INDEX('1 Types'!$E$2:$E$201,MATCH(C155,'1 Types'!$A$2:$A$201,0)),"")&lt;&gt;"yes"),"Needs a parent",IF(OR(L155&lt;&gt;"",H155=A155,I155=A155,J155=A155,K155=A155),"Parent loop, or more than five levels","ok"))))))</f>
        <v/>
      </c>
      <c r="H155" s="10" t="str">
        <f aca="false">IF(A155="","",D155)</f>
        <v/>
      </c>
      <c r="I155" s="10" t="str">
        <f aca="false">IF(H155="","",IFERROR(INDEX($D$2:$D$201,MATCH(H155,$A$2:$A$201,0)),""))</f>
        <v/>
      </c>
      <c r="J155" s="10" t="str">
        <f aca="false">IF(I155="","",IFERROR(INDEX($D$2:$D$201,MATCH(I155,$A$2:$A$201,0)),""))</f>
        <v/>
      </c>
      <c r="K155" s="10" t="str">
        <f aca="false">IF(J155="","",IFERROR(INDEX($D$2:$D$201,MATCH(J155,$A$2:$A$201,0)),""))</f>
        <v/>
      </c>
      <c r="L155" s="10" t="str">
        <f aca="false">IF(K155="","",IFERROR(INDEX($D$2:$D$201,MATCH(K155,$A$2:$A$201,0)),""))</f>
        <v/>
      </c>
      <c r="M155" s="10" t="str">
        <f aca="false">IF(A155="","",IF(K155&lt;&gt;"",K155,IF(J155&lt;&gt;"",J155,IF(I155&lt;&gt;"",I155,IF(H155&lt;&gt;"",H155,A155)))))</f>
        <v/>
      </c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10" t="str">
        <f aca="false">IF(A156="","",IF(K156&lt;&gt;"",IFERROR(IF(INDEX($E$2:$E$201,MATCH(K156,$A$2:$A$201,0))="",K156,INDEX($E$2:$E$201,MATCH(K156,$A$2:$A$201,0))),K156)&amp;"/","")&amp;IF(J156&lt;&gt;"",IFERROR(IF(INDEX($E$2:$E$201,MATCH(J156,$A$2:$A$201,0))="",J156,INDEX($E$2:$E$201,MATCH(J156,$A$2:$A$201,0))),J156)&amp;"/","")&amp;IF(I156&lt;&gt;"",IFERROR(IF(INDEX($E$2:$E$201,MATCH(I156,$A$2:$A$201,0))="",I156,INDEX($E$2:$E$201,MATCH(I156,$A$2:$A$201,0))),I156)&amp;"/","")&amp;IF(H156&lt;&gt;"",IFERROR(IF(INDEX($E$2:$E$201,MATCH(H156,$A$2:$A$201,0))="",H156,INDEX($E$2:$E$201,MATCH(H156,$A$2:$A$201,0))),H156)&amp;"/","")&amp;IF(E156="",A156,E156))</f>
        <v/>
      </c>
      <c r="G156" s="10" t="str">
        <f aca="false">IF(A156="","",IF(SUMPRODUCT(--EXACT($A$2:$A$201,A156))&gt;1,"Duplicate ID",IF(SUMPRODUCT(--EXACT('1 Types'!$A$2:$A$201,C156))=0,"Type is not on the Types sheet",IF(AND(D156&lt;&gt;"",NOT(SUMPRODUCT(--EXACT($A$2:$A$201,D156))&gt;0)),"Parent is not an asset",IF(AND(D156="",IFERROR(INDEX('1 Types'!$E$2:$E$201,MATCH(C156,'1 Types'!$A$2:$A$201,0)),"")&lt;&gt;"yes"),"Needs a parent",IF(OR(L156&lt;&gt;"",H156=A156,I156=A156,J156=A156,K156=A156),"Parent loop, or more than five levels","ok"))))))</f>
        <v/>
      </c>
      <c r="H156" s="10" t="str">
        <f aca="false">IF(A156="","",D156)</f>
        <v/>
      </c>
      <c r="I156" s="10" t="str">
        <f aca="false">IF(H156="","",IFERROR(INDEX($D$2:$D$201,MATCH(H156,$A$2:$A$201,0)),""))</f>
        <v/>
      </c>
      <c r="J156" s="10" t="str">
        <f aca="false">IF(I156="","",IFERROR(INDEX($D$2:$D$201,MATCH(I156,$A$2:$A$201,0)),""))</f>
        <v/>
      </c>
      <c r="K156" s="10" t="str">
        <f aca="false">IF(J156="","",IFERROR(INDEX($D$2:$D$201,MATCH(J156,$A$2:$A$201,0)),""))</f>
        <v/>
      </c>
      <c r="L156" s="10" t="str">
        <f aca="false">IF(K156="","",IFERROR(INDEX($D$2:$D$201,MATCH(K156,$A$2:$A$201,0)),""))</f>
        <v/>
      </c>
      <c r="M156" s="10" t="str">
        <f aca="false">IF(A156="","",IF(K156&lt;&gt;"",K156,IF(J156&lt;&gt;"",J156,IF(I156&lt;&gt;"",I156,IF(H156&lt;&gt;"",H156,A156)))))</f>
        <v/>
      </c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10" t="str">
        <f aca="false">IF(A157="","",IF(K157&lt;&gt;"",IFERROR(IF(INDEX($E$2:$E$201,MATCH(K157,$A$2:$A$201,0))="",K157,INDEX($E$2:$E$201,MATCH(K157,$A$2:$A$201,0))),K157)&amp;"/","")&amp;IF(J157&lt;&gt;"",IFERROR(IF(INDEX($E$2:$E$201,MATCH(J157,$A$2:$A$201,0))="",J157,INDEX($E$2:$E$201,MATCH(J157,$A$2:$A$201,0))),J157)&amp;"/","")&amp;IF(I157&lt;&gt;"",IFERROR(IF(INDEX($E$2:$E$201,MATCH(I157,$A$2:$A$201,0))="",I157,INDEX($E$2:$E$201,MATCH(I157,$A$2:$A$201,0))),I157)&amp;"/","")&amp;IF(H157&lt;&gt;"",IFERROR(IF(INDEX($E$2:$E$201,MATCH(H157,$A$2:$A$201,0))="",H157,INDEX($E$2:$E$201,MATCH(H157,$A$2:$A$201,0))),H157)&amp;"/","")&amp;IF(E157="",A157,E157))</f>
        <v/>
      </c>
      <c r="G157" s="10" t="str">
        <f aca="false">IF(A157="","",IF(SUMPRODUCT(--EXACT($A$2:$A$201,A157))&gt;1,"Duplicate ID",IF(SUMPRODUCT(--EXACT('1 Types'!$A$2:$A$201,C157))=0,"Type is not on the Types sheet",IF(AND(D157&lt;&gt;"",NOT(SUMPRODUCT(--EXACT($A$2:$A$201,D157))&gt;0)),"Parent is not an asset",IF(AND(D157="",IFERROR(INDEX('1 Types'!$E$2:$E$201,MATCH(C157,'1 Types'!$A$2:$A$201,0)),"")&lt;&gt;"yes"),"Needs a parent",IF(OR(L157&lt;&gt;"",H157=A157,I157=A157,J157=A157,K157=A157),"Parent loop, or more than five levels","ok"))))))</f>
        <v/>
      </c>
      <c r="H157" s="10" t="str">
        <f aca="false">IF(A157="","",D157)</f>
        <v/>
      </c>
      <c r="I157" s="10" t="str">
        <f aca="false">IF(H157="","",IFERROR(INDEX($D$2:$D$201,MATCH(H157,$A$2:$A$201,0)),""))</f>
        <v/>
      </c>
      <c r="J157" s="10" t="str">
        <f aca="false">IF(I157="","",IFERROR(INDEX($D$2:$D$201,MATCH(I157,$A$2:$A$201,0)),""))</f>
        <v/>
      </c>
      <c r="K157" s="10" t="str">
        <f aca="false">IF(J157="","",IFERROR(INDEX($D$2:$D$201,MATCH(J157,$A$2:$A$201,0)),""))</f>
        <v/>
      </c>
      <c r="L157" s="10" t="str">
        <f aca="false">IF(K157="","",IFERROR(INDEX($D$2:$D$201,MATCH(K157,$A$2:$A$201,0)),""))</f>
        <v/>
      </c>
      <c r="M157" s="10" t="str">
        <f aca="false">IF(A157="","",IF(K157&lt;&gt;"",K157,IF(J157&lt;&gt;"",J157,IF(I157&lt;&gt;"",I157,IF(H157&lt;&gt;"",H157,A157)))))</f>
        <v/>
      </c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10" t="str">
        <f aca="false">IF(A158="","",IF(K158&lt;&gt;"",IFERROR(IF(INDEX($E$2:$E$201,MATCH(K158,$A$2:$A$201,0))="",K158,INDEX($E$2:$E$201,MATCH(K158,$A$2:$A$201,0))),K158)&amp;"/","")&amp;IF(J158&lt;&gt;"",IFERROR(IF(INDEX($E$2:$E$201,MATCH(J158,$A$2:$A$201,0))="",J158,INDEX($E$2:$E$201,MATCH(J158,$A$2:$A$201,0))),J158)&amp;"/","")&amp;IF(I158&lt;&gt;"",IFERROR(IF(INDEX($E$2:$E$201,MATCH(I158,$A$2:$A$201,0))="",I158,INDEX($E$2:$E$201,MATCH(I158,$A$2:$A$201,0))),I158)&amp;"/","")&amp;IF(H158&lt;&gt;"",IFERROR(IF(INDEX($E$2:$E$201,MATCH(H158,$A$2:$A$201,0))="",H158,INDEX($E$2:$E$201,MATCH(H158,$A$2:$A$201,0))),H158)&amp;"/","")&amp;IF(E158="",A158,E158))</f>
        <v/>
      </c>
      <c r="G158" s="10" t="str">
        <f aca="false">IF(A158="","",IF(SUMPRODUCT(--EXACT($A$2:$A$201,A158))&gt;1,"Duplicate ID",IF(SUMPRODUCT(--EXACT('1 Types'!$A$2:$A$201,C158))=0,"Type is not on the Types sheet",IF(AND(D158&lt;&gt;"",NOT(SUMPRODUCT(--EXACT($A$2:$A$201,D158))&gt;0)),"Parent is not an asset",IF(AND(D158="",IFERROR(INDEX('1 Types'!$E$2:$E$201,MATCH(C158,'1 Types'!$A$2:$A$201,0)),"")&lt;&gt;"yes"),"Needs a parent",IF(OR(L158&lt;&gt;"",H158=A158,I158=A158,J158=A158,K158=A158),"Parent loop, or more than five levels","ok"))))))</f>
        <v/>
      </c>
      <c r="H158" s="10" t="str">
        <f aca="false">IF(A158="","",D158)</f>
        <v/>
      </c>
      <c r="I158" s="10" t="str">
        <f aca="false">IF(H158="","",IFERROR(INDEX($D$2:$D$201,MATCH(H158,$A$2:$A$201,0)),""))</f>
        <v/>
      </c>
      <c r="J158" s="10" t="str">
        <f aca="false">IF(I158="","",IFERROR(INDEX($D$2:$D$201,MATCH(I158,$A$2:$A$201,0)),""))</f>
        <v/>
      </c>
      <c r="K158" s="10" t="str">
        <f aca="false">IF(J158="","",IFERROR(INDEX($D$2:$D$201,MATCH(J158,$A$2:$A$201,0)),""))</f>
        <v/>
      </c>
      <c r="L158" s="10" t="str">
        <f aca="false">IF(K158="","",IFERROR(INDEX($D$2:$D$201,MATCH(K158,$A$2:$A$201,0)),""))</f>
        <v/>
      </c>
      <c r="M158" s="10" t="str">
        <f aca="false">IF(A158="","",IF(K158&lt;&gt;"",K158,IF(J158&lt;&gt;"",J158,IF(I158&lt;&gt;"",I158,IF(H158&lt;&gt;"",H158,A158)))))</f>
        <v/>
      </c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10" t="str">
        <f aca="false">IF(A159="","",IF(K159&lt;&gt;"",IFERROR(IF(INDEX($E$2:$E$201,MATCH(K159,$A$2:$A$201,0))="",K159,INDEX($E$2:$E$201,MATCH(K159,$A$2:$A$201,0))),K159)&amp;"/","")&amp;IF(J159&lt;&gt;"",IFERROR(IF(INDEX($E$2:$E$201,MATCH(J159,$A$2:$A$201,0))="",J159,INDEX($E$2:$E$201,MATCH(J159,$A$2:$A$201,0))),J159)&amp;"/","")&amp;IF(I159&lt;&gt;"",IFERROR(IF(INDEX($E$2:$E$201,MATCH(I159,$A$2:$A$201,0))="",I159,INDEX($E$2:$E$201,MATCH(I159,$A$2:$A$201,0))),I159)&amp;"/","")&amp;IF(H159&lt;&gt;"",IFERROR(IF(INDEX($E$2:$E$201,MATCH(H159,$A$2:$A$201,0))="",H159,INDEX($E$2:$E$201,MATCH(H159,$A$2:$A$201,0))),H159)&amp;"/","")&amp;IF(E159="",A159,E159))</f>
        <v/>
      </c>
      <c r="G159" s="10" t="str">
        <f aca="false">IF(A159="","",IF(SUMPRODUCT(--EXACT($A$2:$A$201,A159))&gt;1,"Duplicate ID",IF(SUMPRODUCT(--EXACT('1 Types'!$A$2:$A$201,C159))=0,"Type is not on the Types sheet",IF(AND(D159&lt;&gt;"",NOT(SUMPRODUCT(--EXACT($A$2:$A$201,D159))&gt;0)),"Parent is not an asset",IF(AND(D159="",IFERROR(INDEX('1 Types'!$E$2:$E$201,MATCH(C159,'1 Types'!$A$2:$A$201,0)),"")&lt;&gt;"yes"),"Needs a parent",IF(OR(L159&lt;&gt;"",H159=A159,I159=A159,J159=A159,K159=A159),"Parent loop, or more than five levels","ok"))))))</f>
        <v/>
      </c>
      <c r="H159" s="10" t="str">
        <f aca="false">IF(A159="","",D159)</f>
        <v/>
      </c>
      <c r="I159" s="10" t="str">
        <f aca="false">IF(H159="","",IFERROR(INDEX($D$2:$D$201,MATCH(H159,$A$2:$A$201,0)),""))</f>
        <v/>
      </c>
      <c r="J159" s="10" t="str">
        <f aca="false">IF(I159="","",IFERROR(INDEX($D$2:$D$201,MATCH(I159,$A$2:$A$201,0)),""))</f>
        <v/>
      </c>
      <c r="K159" s="10" t="str">
        <f aca="false">IF(J159="","",IFERROR(INDEX($D$2:$D$201,MATCH(J159,$A$2:$A$201,0)),""))</f>
        <v/>
      </c>
      <c r="L159" s="10" t="str">
        <f aca="false">IF(K159="","",IFERROR(INDEX($D$2:$D$201,MATCH(K159,$A$2:$A$201,0)),""))</f>
        <v/>
      </c>
      <c r="M159" s="10" t="str">
        <f aca="false">IF(A159="","",IF(K159&lt;&gt;"",K159,IF(J159&lt;&gt;"",J159,IF(I159&lt;&gt;"",I159,IF(H159&lt;&gt;"",H159,A159)))))</f>
        <v/>
      </c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10" t="str">
        <f aca="false">IF(A160="","",IF(K160&lt;&gt;"",IFERROR(IF(INDEX($E$2:$E$201,MATCH(K160,$A$2:$A$201,0))="",K160,INDEX($E$2:$E$201,MATCH(K160,$A$2:$A$201,0))),K160)&amp;"/","")&amp;IF(J160&lt;&gt;"",IFERROR(IF(INDEX($E$2:$E$201,MATCH(J160,$A$2:$A$201,0))="",J160,INDEX($E$2:$E$201,MATCH(J160,$A$2:$A$201,0))),J160)&amp;"/","")&amp;IF(I160&lt;&gt;"",IFERROR(IF(INDEX($E$2:$E$201,MATCH(I160,$A$2:$A$201,0))="",I160,INDEX($E$2:$E$201,MATCH(I160,$A$2:$A$201,0))),I160)&amp;"/","")&amp;IF(H160&lt;&gt;"",IFERROR(IF(INDEX($E$2:$E$201,MATCH(H160,$A$2:$A$201,0))="",H160,INDEX($E$2:$E$201,MATCH(H160,$A$2:$A$201,0))),H160)&amp;"/","")&amp;IF(E160="",A160,E160))</f>
        <v/>
      </c>
      <c r="G160" s="10" t="str">
        <f aca="false">IF(A160="","",IF(SUMPRODUCT(--EXACT($A$2:$A$201,A160))&gt;1,"Duplicate ID",IF(SUMPRODUCT(--EXACT('1 Types'!$A$2:$A$201,C160))=0,"Type is not on the Types sheet",IF(AND(D160&lt;&gt;"",NOT(SUMPRODUCT(--EXACT($A$2:$A$201,D160))&gt;0)),"Parent is not an asset",IF(AND(D160="",IFERROR(INDEX('1 Types'!$E$2:$E$201,MATCH(C160,'1 Types'!$A$2:$A$201,0)),"")&lt;&gt;"yes"),"Needs a parent",IF(OR(L160&lt;&gt;"",H160=A160,I160=A160,J160=A160,K160=A160),"Parent loop, or more than five levels","ok"))))))</f>
        <v/>
      </c>
      <c r="H160" s="10" t="str">
        <f aca="false">IF(A160="","",D160)</f>
        <v/>
      </c>
      <c r="I160" s="10" t="str">
        <f aca="false">IF(H160="","",IFERROR(INDEX($D$2:$D$201,MATCH(H160,$A$2:$A$201,0)),""))</f>
        <v/>
      </c>
      <c r="J160" s="10" t="str">
        <f aca="false">IF(I160="","",IFERROR(INDEX($D$2:$D$201,MATCH(I160,$A$2:$A$201,0)),""))</f>
        <v/>
      </c>
      <c r="K160" s="10" t="str">
        <f aca="false">IF(J160="","",IFERROR(INDEX($D$2:$D$201,MATCH(J160,$A$2:$A$201,0)),""))</f>
        <v/>
      </c>
      <c r="L160" s="10" t="str">
        <f aca="false">IF(K160="","",IFERROR(INDEX($D$2:$D$201,MATCH(K160,$A$2:$A$201,0)),""))</f>
        <v/>
      </c>
      <c r="M160" s="10" t="str">
        <f aca="false">IF(A160="","",IF(K160&lt;&gt;"",K160,IF(J160&lt;&gt;"",J160,IF(I160&lt;&gt;"",I160,IF(H160&lt;&gt;"",H160,A160)))))</f>
        <v/>
      </c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10" t="str">
        <f aca="false">IF(A161="","",IF(K161&lt;&gt;"",IFERROR(IF(INDEX($E$2:$E$201,MATCH(K161,$A$2:$A$201,0))="",K161,INDEX($E$2:$E$201,MATCH(K161,$A$2:$A$201,0))),K161)&amp;"/","")&amp;IF(J161&lt;&gt;"",IFERROR(IF(INDEX($E$2:$E$201,MATCH(J161,$A$2:$A$201,0))="",J161,INDEX($E$2:$E$201,MATCH(J161,$A$2:$A$201,0))),J161)&amp;"/","")&amp;IF(I161&lt;&gt;"",IFERROR(IF(INDEX($E$2:$E$201,MATCH(I161,$A$2:$A$201,0))="",I161,INDEX($E$2:$E$201,MATCH(I161,$A$2:$A$201,0))),I161)&amp;"/","")&amp;IF(H161&lt;&gt;"",IFERROR(IF(INDEX($E$2:$E$201,MATCH(H161,$A$2:$A$201,0))="",H161,INDEX($E$2:$E$201,MATCH(H161,$A$2:$A$201,0))),H161)&amp;"/","")&amp;IF(E161="",A161,E161))</f>
        <v/>
      </c>
      <c r="G161" s="10" t="str">
        <f aca="false">IF(A161="","",IF(SUMPRODUCT(--EXACT($A$2:$A$201,A161))&gt;1,"Duplicate ID",IF(SUMPRODUCT(--EXACT('1 Types'!$A$2:$A$201,C161))=0,"Type is not on the Types sheet",IF(AND(D161&lt;&gt;"",NOT(SUMPRODUCT(--EXACT($A$2:$A$201,D161))&gt;0)),"Parent is not an asset",IF(AND(D161="",IFERROR(INDEX('1 Types'!$E$2:$E$201,MATCH(C161,'1 Types'!$A$2:$A$201,0)),"")&lt;&gt;"yes"),"Needs a parent",IF(OR(L161&lt;&gt;"",H161=A161,I161=A161,J161=A161,K161=A161),"Parent loop, or more than five levels","ok"))))))</f>
        <v/>
      </c>
      <c r="H161" s="10" t="str">
        <f aca="false">IF(A161="","",D161)</f>
        <v/>
      </c>
      <c r="I161" s="10" t="str">
        <f aca="false">IF(H161="","",IFERROR(INDEX($D$2:$D$201,MATCH(H161,$A$2:$A$201,0)),""))</f>
        <v/>
      </c>
      <c r="J161" s="10" t="str">
        <f aca="false">IF(I161="","",IFERROR(INDEX($D$2:$D$201,MATCH(I161,$A$2:$A$201,0)),""))</f>
        <v/>
      </c>
      <c r="K161" s="10" t="str">
        <f aca="false">IF(J161="","",IFERROR(INDEX($D$2:$D$201,MATCH(J161,$A$2:$A$201,0)),""))</f>
        <v/>
      </c>
      <c r="L161" s="10" t="str">
        <f aca="false">IF(K161="","",IFERROR(INDEX($D$2:$D$201,MATCH(K161,$A$2:$A$201,0)),""))</f>
        <v/>
      </c>
      <c r="M161" s="10" t="str">
        <f aca="false">IF(A161="","",IF(K161&lt;&gt;"",K161,IF(J161&lt;&gt;"",J161,IF(I161&lt;&gt;"",I161,IF(H161&lt;&gt;"",H161,A161)))))</f>
        <v/>
      </c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10" t="str">
        <f aca="false">IF(A162="","",IF(K162&lt;&gt;"",IFERROR(IF(INDEX($E$2:$E$201,MATCH(K162,$A$2:$A$201,0))="",K162,INDEX($E$2:$E$201,MATCH(K162,$A$2:$A$201,0))),K162)&amp;"/","")&amp;IF(J162&lt;&gt;"",IFERROR(IF(INDEX($E$2:$E$201,MATCH(J162,$A$2:$A$201,0))="",J162,INDEX($E$2:$E$201,MATCH(J162,$A$2:$A$201,0))),J162)&amp;"/","")&amp;IF(I162&lt;&gt;"",IFERROR(IF(INDEX($E$2:$E$201,MATCH(I162,$A$2:$A$201,0))="",I162,INDEX($E$2:$E$201,MATCH(I162,$A$2:$A$201,0))),I162)&amp;"/","")&amp;IF(H162&lt;&gt;"",IFERROR(IF(INDEX($E$2:$E$201,MATCH(H162,$A$2:$A$201,0))="",H162,INDEX($E$2:$E$201,MATCH(H162,$A$2:$A$201,0))),H162)&amp;"/","")&amp;IF(E162="",A162,E162))</f>
        <v/>
      </c>
      <c r="G162" s="10" t="str">
        <f aca="false">IF(A162="","",IF(SUMPRODUCT(--EXACT($A$2:$A$201,A162))&gt;1,"Duplicate ID",IF(SUMPRODUCT(--EXACT('1 Types'!$A$2:$A$201,C162))=0,"Type is not on the Types sheet",IF(AND(D162&lt;&gt;"",NOT(SUMPRODUCT(--EXACT($A$2:$A$201,D162))&gt;0)),"Parent is not an asset",IF(AND(D162="",IFERROR(INDEX('1 Types'!$E$2:$E$201,MATCH(C162,'1 Types'!$A$2:$A$201,0)),"")&lt;&gt;"yes"),"Needs a parent",IF(OR(L162&lt;&gt;"",H162=A162,I162=A162,J162=A162,K162=A162),"Parent loop, or more than five levels","ok"))))))</f>
        <v/>
      </c>
      <c r="H162" s="10" t="str">
        <f aca="false">IF(A162="","",D162)</f>
        <v/>
      </c>
      <c r="I162" s="10" t="str">
        <f aca="false">IF(H162="","",IFERROR(INDEX($D$2:$D$201,MATCH(H162,$A$2:$A$201,0)),""))</f>
        <v/>
      </c>
      <c r="J162" s="10" t="str">
        <f aca="false">IF(I162="","",IFERROR(INDEX($D$2:$D$201,MATCH(I162,$A$2:$A$201,0)),""))</f>
        <v/>
      </c>
      <c r="K162" s="10" t="str">
        <f aca="false">IF(J162="","",IFERROR(INDEX($D$2:$D$201,MATCH(J162,$A$2:$A$201,0)),""))</f>
        <v/>
      </c>
      <c r="L162" s="10" t="str">
        <f aca="false">IF(K162="","",IFERROR(INDEX($D$2:$D$201,MATCH(K162,$A$2:$A$201,0)),""))</f>
        <v/>
      </c>
      <c r="M162" s="10" t="str">
        <f aca="false">IF(A162="","",IF(K162&lt;&gt;"",K162,IF(J162&lt;&gt;"",J162,IF(I162&lt;&gt;"",I162,IF(H162&lt;&gt;"",H162,A162)))))</f>
        <v/>
      </c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10" t="str">
        <f aca="false">IF(A163="","",IF(K163&lt;&gt;"",IFERROR(IF(INDEX($E$2:$E$201,MATCH(K163,$A$2:$A$201,0))="",K163,INDEX($E$2:$E$201,MATCH(K163,$A$2:$A$201,0))),K163)&amp;"/","")&amp;IF(J163&lt;&gt;"",IFERROR(IF(INDEX($E$2:$E$201,MATCH(J163,$A$2:$A$201,0))="",J163,INDEX($E$2:$E$201,MATCH(J163,$A$2:$A$201,0))),J163)&amp;"/","")&amp;IF(I163&lt;&gt;"",IFERROR(IF(INDEX($E$2:$E$201,MATCH(I163,$A$2:$A$201,0))="",I163,INDEX($E$2:$E$201,MATCH(I163,$A$2:$A$201,0))),I163)&amp;"/","")&amp;IF(H163&lt;&gt;"",IFERROR(IF(INDEX($E$2:$E$201,MATCH(H163,$A$2:$A$201,0))="",H163,INDEX($E$2:$E$201,MATCH(H163,$A$2:$A$201,0))),H163)&amp;"/","")&amp;IF(E163="",A163,E163))</f>
        <v/>
      </c>
      <c r="G163" s="10" t="str">
        <f aca="false">IF(A163="","",IF(SUMPRODUCT(--EXACT($A$2:$A$201,A163))&gt;1,"Duplicate ID",IF(SUMPRODUCT(--EXACT('1 Types'!$A$2:$A$201,C163))=0,"Type is not on the Types sheet",IF(AND(D163&lt;&gt;"",NOT(SUMPRODUCT(--EXACT($A$2:$A$201,D163))&gt;0)),"Parent is not an asset",IF(AND(D163="",IFERROR(INDEX('1 Types'!$E$2:$E$201,MATCH(C163,'1 Types'!$A$2:$A$201,0)),"")&lt;&gt;"yes"),"Needs a parent",IF(OR(L163&lt;&gt;"",H163=A163,I163=A163,J163=A163,K163=A163),"Parent loop, or more than five levels","ok"))))))</f>
        <v/>
      </c>
      <c r="H163" s="10" t="str">
        <f aca="false">IF(A163="","",D163)</f>
        <v/>
      </c>
      <c r="I163" s="10" t="str">
        <f aca="false">IF(H163="","",IFERROR(INDEX($D$2:$D$201,MATCH(H163,$A$2:$A$201,0)),""))</f>
        <v/>
      </c>
      <c r="J163" s="10" t="str">
        <f aca="false">IF(I163="","",IFERROR(INDEX($D$2:$D$201,MATCH(I163,$A$2:$A$201,0)),""))</f>
        <v/>
      </c>
      <c r="K163" s="10" t="str">
        <f aca="false">IF(J163="","",IFERROR(INDEX($D$2:$D$201,MATCH(J163,$A$2:$A$201,0)),""))</f>
        <v/>
      </c>
      <c r="L163" s="10" t="str">
        <f aca="false">IF(K163="","",IFERROR(INDEX($D$2:$D$201,MATCH(K163,$A$2:$A$201,0)),""))</f>
        <v/>
      </c>
      <c r="M163" s="10" t="str">
        <f aca="false">IF(A163="","",IF(K163&lt;&gt;"",K163,IF(J163&lt;&gt;"",J163,IF(I163&lt;&gt;"",I163,IF(H163&lt;&gt;"",H163,A163)))))</f>
        <v/>
      </c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10" t="str">
        <f aca="false">IF(A164="","",IF(K164&lt;&gt;"",IFERROR(IF(INDEX($E$2:$E$201,MATCH(K164,$A$2:$A$201,0))="",K164,INDEX($E$2:$E$201,MATCH(K164,$A$2:$A$201,0))),K164)&amp;"/","")&amp;IF(J164&lt;&gt;"",IFERROR(IF(INDEX($E$2:$E$201,MATCH(J164,$A$2:$A$201,0))="",J164,INDEX($E$2:$E$201,MATCH(J164,$A$2:$A$201,0))),J164)&amp;"/","")&amp;IF(I164&lt;&gt;"",IFERROR(IF(INDEX($E$2:$E$201,MATCH(I164,$A$2:$A$201,0))="",I164,INDEX($E$2:$E$201,MATCH(I164,$A$2:$A$201,0))),I164)&amp;"/","")&amp;IF(H164&lt;&gt;"",IFERROR(IF(INDEX($E$2:$E$201,MATCH(H164,$A$2:$A$201,0))="",H164,INDEX($E$2:$E$201,MATCH(H164,$A$2:$A$201,0))),H164)&amp;"/","")&amp;IF(E164="",A164,E164))</f>
        <v/>
      </c>
      <c r="G164" s="10" t="str">
        <f aca="false">IF(A164="","",IF(SUMPRODUCT(--EXACT($A$2:$A$201,A164))&gt;1,"Duplicate ID",IF(SUMPRODUCT(--EXACT('1 Types'!$A$2:$A$201,C164))=0,"Type is not on the Types sheet",IF(AND(D164&lt;&gt;"",NOT(SUMPRODUCT(--EXACT($A$2:$A$201,D164))&gt;0)),"Parent is not an asset",IF(AND(D164="",IFERROR(INDEX('1 Types'!$E$2:$E$201,MATCH(C164,'1 Types'!$A$2:$A$201,0)),"")&lt;&gt;"yes"),"Needs a parent",IF(OR(L164&lt;&gt;"",H164=A164,I164=A164,J164=A164,K164=A164),"Parent loop, or more than five levels","ok"))))))</f>
        <v/>
      </c>
      <c r="H164" s="10" t="str">
        <f aca="false">IF(A164="","",D164)</f>
        <v/>
      </c>
      <c r="I164" s="10" t="str">
        <f aca="false">IF(H164="","",IFERROR(INDEX($D$2:$D$201,MATCH(H164,$A$2:$A$201,0)),""))</f>
        <v/>
      </c>
      <c r="J164" s="10" t="str">
        <f aca="false">IF(I164="","",IFERROR(INDEX($D$2:$D$201,MATCH(I164,$A$2:$A$201,0)),""))</f>
        <v/>
      </c>
      <c r="K164" s="10" t="str">
        <f aca="false">IF(J164="","",IFERROR(INDEX($D$2:$D$201,MATCH(J164,$A$2:$A$201,0)),""))</f>
        <v/>
      </c>
      <c r="L164" s="10" t="str">
        <f aca="false">IF(K164="","",IFERROR(INDEX($D$2:$D$201,MATCH(K164,$A$2:$A$201,0)),""))</f>
        <v/>
      </c>
      <c r="M164" s="10" t="str">
        <f aca="false">IF(A164="","",IF(K164&lt;&gt;"",K164,IF(J164&lt;&gt;"",J164,IF(I164&lt;&gt;"",I164,IF(H164&lt;&gt;"",H164,A164)))))</f>
        <v/>
      </c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10" t="str">
        <f aca="false">IF(A165="","",IF(K165&lt;&gt;"",IFERROR(IF(INDEX($E$2:$E$201,MATCH(K165,$A$2:$A$201,0))="",K165,INDEX($E$2:$E$201,MATCH(K165,$A$2:$A$201,0))),K165)&amp;"/","")&amp;IF(J165&lt;&gt;"",IFERROR(IF(INDEX($E$2:$E$201,MATCH(J165,$A$2:$A$201,0))="",J165,INDEX($E$2:$E$201,MATCH(J165,$A$2:$A$201,0))),J165)&amp;"/","")&amp;IF(I165&lt;&gt;"",IFERROR(IF(INDEX($E$2:$E$201,MATCH(I165,$A$2:$A$201,0))="",I165,INDEX($E$2:$E$201,MATCH(I165,$A$2:$A$201,0))),I165)&amp;"/","")&amp;IF(H165&lt;&gt;"",IFERROR(IF(INDEX($E$2:$E$201,MATCH(H165,$A$2:$A$201,0))="",H165,INDEX($E$2:$E$201,MATCH(H165,$A$2:$A$201,0))),H165)&amp;"/","")&amp;IF(E165="",A165,E165))</f>
        <v/>
      </c>
      <c r="G165" s="10" t="str">
        <f aca="false">IF(A165="","",IF(SUMPRODUCT(--EXACT($A$2:$A$201,A165))&gt;1,"Duplicate ID",IF(SUMPRODUCT(--EXACT('1 Types'!$A$2:$A$201,C165))=0,"Type is not on the Types sheet",IF(AND(D165&lt;&gt;"",NOT(SUMPRODUCT(--EXACT($A$2:$A$201,D165))&gt;0)),"Parent is not an asset",IF(AND(D165="",IFERROR(INDEX('1 Types'!$E$2:$E$201,MATCH(C165,'1 Types'!$A$2:$A$201,0)),"")&lt;&gt;"yes"),"Needs a parent",IF(OR(L165&lt;&gt;"",H165=A165,I165=A165,J165=A165,K165=A165),"Parent loop, or more than five levels","ok"))))))</f>
        <v/>
      </c>
      <c r="H165" s="10" t="str">
        <f aca="false">IF(A165="","",D165)</f>
        <v/>
      </c>
      <c r="I165" s="10" t="str">
        <f aca="false">IF(H165="","",IFERROR(INDEX($D$2:$D$201,MATCH(H165,$A$2:$A$201,0)),""))</f>
        <v/>
      </c>
      <c r="J165" s="10" t="str">
        <f aca="false">IF(I165="","",IFERROR(INDEX($D$2:$D$201,MATCH(I165,$A$2:$A$201,0)),""))</f>
        <v/>
      </c>
      <c r="K165" s="10" t="str">
        <f aca="false">IF(J165="","",IFERROR(INDEX($D$2:$D$201,MATCH(J165,$A$2:$A$201,0)),""))</f>
        <v/>
      </c>
      <c r="L165" s="10" t="str">
        <f aca="false">IF(K165="","",IFERROR(INDEX($D$2:$D$201,MATCH(K165,$A$2:$A$201,0)),""))</f>
        <v/>
      </c>
      <c r="M165" s="10" t="str">
        <f aca="false">IF(A165="","",IF(K165&lt;&gt;"",K165,IF(J165&lt;&gt;"",J165,IF(I165&lt;&gt;"",I165,IF(H165&lt;&gt;"",H165,A165)))))</f>
        <v/>
      </c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10" t="str">
        <f aca="false">IF(A166="","",IF(K166&lt;&gt;"",IFERROR(IF(INDEX($E$2:$E$201,MATCH(K166,$A$2:$A$201,0))="",K166,INDEX($E$2:$E$201,MATCH(K166,$A$2:$A$201,0))),K166)&amp;"/","")&amp;IF(J166&lt;&gt;"",IFERROR(IF(INDEX($E$2:$E$201,MATCH(J166,$A$2:$A$201,0))="",J166,INDEX($E$2:$E$201,MATCH(J166,$A$2:$A$201,0))),J166)&amp;"/","")&amp;IF(I166&lt;&gt;"",IFERROR(IF(INDEX($E$2:$E$201,MATCH(I166,$A$2:$A$201,0))="",I166,INDEX($E$2:$E$201,MATCH(I166,$A$2:$A$201,0))),I166)&amp;"/","")&amp;IF(H166&lt;&gt;"",IFERROR(IF(INDEX($E$2:$E$201,MATCH(H166,$A$2:$A$201,0))="",H166,INDEX($E$2:$E$201,MATCH(H166,$A$2:$A$201,0))),H166)&amp;"/","")&amp;IF(E166="",A166,E166))</f>
        <v/>
      </c>
      <c r="G166" s="10" t="str">
        <f aca="false">IF(A166="","",IF(SUMPRODUCT(--EXACT($A$2:$A$201,A166))&gt;1,"Duplicate ID",IF(SUMPRODUCT(--EXACT('1 Types'!$A$2:$A$201,C166))=0,"Type is not on the Types sheet",IF(AND(D166&lt;&gt;"",NOT(SUMPRODUCT(--EXACT($A$2:$A$201,D166))&gt;0)),"Parent is not an asset",IF(AND(D166="",IFERROR(INDEX('1 Types'!$E$2:$E$201,MATCH(C166,'1 Types'!$A$2:$A$201,0)),"")&lt;&gt;"yes"),"Needs a parent",IF(OR(L166&lt;&gt;"",H166=A166,I166=A166,J166=A166,K166=A166),"Parent loop, or more than five levels","ok"))))))</f>
        <v/>
      </c>
      <c r="H166" s="10" t="str">
        <f aca="false">IF(A166="","",D166)</f>
        <v/>
      </c>
      <c r="I166" s="10" t="str">
        <f aca="false">IF(H166="","",IFERROR(INDEX($D$2:$D$201,MATCH(H166,$A$2:$A$201,0)),""))</f>
        <v/>
      </c>
      <c r="J166" s="10" t="str">
        <f aca="false">IF(I166="","",IFERROR(INDEX($D$2:$D$201,MATCH(I166,$A$2:$A$201,0)),""))</f>
        <v/>
      </c>
      <c r="K166" s="10" t="str">
        <f aca="false">IF(J166="","",IFERROR(INDEX($D$2:$D$201,MATCH(J166,$A$2:$A$201,0)),""))</f>
        <v/>
      </c>
      <c r="L166" s="10" t="str">
        <f aca="false">IF(K166="","",IFERROR(INDEX($D$2:$D$201,MATCH(K166,$A$2:$A$201,0)),""))</f>
        <v/>
      </c>
      <c r="M166" s="10" t="str">
        <f aca="false">IF(A166="","",IF(K166&lt;&gt;"",K166,IF(J166&lt;&gt;"",J166,IF(I166&lt;&gt;"",I166,IF(H166&lt;&gt;"",H166,A166)))))</f>
        <v/>
      </c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10" t="str">
        <f aca="false">IF(A167="","",IF(K167&lt;&gt;"",IFERROR(IF(INDEX($E$2:$E$201,MATCH(K167,$A$2:$A$201,0))="",K167,INDEX($E$2:$E$201,MATCH(K167,$A$2:$A$201,0))),K167)&amp;"/","")&amp;IF(J167&lt;&gt;"",IFERROR(IF(INDEX($E$2:$E$201,MATCH(J167,$A$2:$A$201,0))="",J167,INDEX($E$2:$E$201,MATCH(J167,$A$2:$A$201,0))),J167)&amp;"/","")&amp;IF(I167&lt;&gt;"",IFERROR(IF(INDEX($E$2:$E$201,MATCH(I167,$A$2:$A$201,0))="",I167,INDEX($E$2:$E$201,MATCH(I167,$A$2:$A$201,0))),I167)&amp;"/","")&amp;IF(H167&lt;&gt;"",IFERROR(IF(INDEX($E$2:$E$201,MATCH(H167,$A$2:$A$201,0))="",H167,INDEX($E$2:$E$201,MATCH(H167,$A$2:$A$201,0))),H167)&amp;"/","")&amp;IF(E167="",A167,E167))</f>
        <v/>
      </c>
      <c r="G167" s="10" t="str">
        <f aca="false">IF(A167="","",IF(SUMPRODUCT(--EXACT($A$2:$A$201,A167))&gt;1,"Duplicate ID",IF(SUMPRODUCT(--EXACT('1 Types'!$A$2:$A$201,C167))=0,"Type is not on the Types sheet",IF(AND(D167&lt;&gt;"",NOT(SUMPRODUCT(--EXACT($A$2:$A$201,D167))&gt;0)),"Parent is not an asset",IF(AND(D167="",IFERROR(INDEX('1 Types'!$E$2:$E$201,MATCH(C167,'1 Types'!$A$2:$A$201,0)),"")&lt;&gt;"yes"),"Needs a parent",IF(OR(L167&lt;&gt;"",H167=A167,I167=A167,J167=A167,K167=A167),"Parent loop, or more than five levels","ok"))))))</f>
        <v/>
      </c>
      <c r="H167" s="10" t="str">
        <f aca="false">IF(A167="","",D167)</f>
        <v/>
      </c>
      <c r="I167" s="10" t="str">
        <f aca="false">IF(H167="","",IFERROR(INDEX($D$2:$D$201,MATCH(H167,$A$2:$A$201,0)),""))</f>
        <v/>
      </c>
      <c r="J167" s="10" t="str">
        <f aca="false">IF(I167="","",IFERROR(INDEX($D$2:$D$201,MATCH(I167,$A$2:$A$201,0)),""))</f>
        <v/>
      </c>
      <c r="K167" s="10" t="str">
        <f aca="false">IF(J167="","",IFERROR(INDEX($D$2:$D$201,MATCH(J167,$A$2:$A$201,0)),""))</f>
        <v/>
      </c>
      <c r="L167" s="10" t="str">
        <f aca="false">IF(K167="","",IFERROR(INDEX($D$2:$D$201,MATCH(K167,$A$2:$A$201,0)),""))</f>
        <v/>
      </c>
      <c r="M167" s="10" t="str">
        <f aca="false">IF(A167="","",IF(K167&lt;&gt;"",K167,IF(J167&lt;&gt;"",J167,IF(I167&lt;&gt;"",I167,IF(H167&lt;&gt;"",H167,A167)))))</f>
        <v/>
      </c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10" t="str">
        <f aca="false">IF(A168="","",IF(K168&lt;&gt;"",IFERROR(IF(INDEX($E$2:$E$201,MATCH(K168,$A$2:$A$201,0))="",K168,INDEX($E$2:$E$201,MATCH(K168,$A$2:$A$201,0))),K168)&amp;"/","")&amp;IF(J168&lt;&gt;"",IFERROR(IF(INDEX($E$2:$E$201,MATCH(J168,$A$2:$A$201,0))="",J168,INDEX($E$2:$E$201,MATCH(J168,$A$2:$A$201,0))),J168)&amp;"/","")&amp;IF(I168&lt;&gt;"",IFERROR(IF(INDEX($E$2:$E$201,MATCH(I168,$A$2:$A$201,0))="",I168,INDEX($E$2:$E$201,MATCH(I168,$A$2:$A$201,0))),I168)&amp;"/","")&amp;IF(H168&lt;&gt;"",IFERROR(IF(INDEX($E$2:$E$201,MATCH(H168,$A$2:$A$201,0))="",H168,INDEX($E$2:$E$201,MATCH(H168,$A$2:$A$201,0))),H168)&amp;"/","")&amp;IF(E168="",A168,E168))</f>
        <v/>
      </c>
      <c r="G168" s="10" t="str">
        <f aca="false">IF(A168="","",IF(SUMPRODUCT(--EXACT($A$2:$A$201,A168))&gt;1,"Duplicate ID",IF(SUMPRODUCT(--EXACT('1 Types'!$A$2:$A$201,C168))=0,"Type is not on the Types sheet",IF(AND(D168&lt;&gt;"",NOT(SUMPRODUCT(--EXACT($A$2:$A$201,D168))&gt;0)),"Parent is not an asset",IF(AND(D168="",IFERROR(INDEX('1 Types'!$E$2:$E$201,MATCH(C168,'1 Types'!$A$2:$A$201,0)),"")&lt;&gt;"yes"),"Needs a parent",IF(OR(L168&lt;&gt;"",H168=A168,I168=A168,J168=A168,K168=A168),"Parent loop, or more than five levels","ok"))))))</f>
        <v/>
      </c>
      <c r="H168" s="10" t="str">
        <f aca="false">IF(A168="","",D168)</f>
        <v/>
      </c>
      <c r="I168" s="10" t="str">
        <f aca="false">IF(H168="","",IFERROR(INDEX($D$2:$D$201,MATCH(H168,$A$2:$A$201,0)),""))</f>
        <v/>
      </c>
      <c r="J168" s="10" t="str">
        <f aca="false">IF(I168="","",IFERROR(INDEX($D$2:$D$201,MATCH(I168,$A$2:$A$201,0)),""))</f>
        <v/>
      </c>
      <c r="K168" s="10" t="str">
        <f aca="false">IF(J168="","",IFERROR(INDEX($D$2:$D$201,MATCH(J168,$A$2:$A$201,0)),""))</f>
        <v/>
      </c>
      <c r="L168" s="10" t="str">
        <f aca="false">IF(K168="","",IFERROR(INDEX($D$2:$D$201,MATCH(K168,$A$2:$A$201,0)),""))</f>
        <v/>
      </c>
      <c r="M168" s="10" t="str">
        <f aca="false">IF(A168="","",IF(K168&lt;&gt;"",K168,IF(J168&lt;&gt;"",J168,IF(I168&lt;&gt;"",I168,IF(H168&lt;&gt;"",H168,A168)))))</f>
        <v/>
      </c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10" t="str">
        <f aca="false">IF(A169="","",IF(K169&lt;&gt;"",IFERROR(IF(INDEX($E$2:$E$201,MATCH(K169,$A$2:$A$201,0))="",K169,INDEX($E$2:$E$201,MATCH(K169,$A$2:$A$201,0))),K169)&amp;"/","")&amp;IF(J169&lt;&gt;"",IFERROR(IF(INDEX($E$2:$E$201,MATCH(J169,$A$2:$A$201,0))="",J169,INDEX($E$2:$E$201,MATCH(J169,$A$2:$A$201,0))),J169)&amp;"/","")&amp;IF(I169&lt;&gt;"",IFERROR(IF(INDEX($E$2:$E$201,MATCH(I169,$A$2:$A$201,0))="",I169,INDEX($E$2:$E$201,MATCH(I169,$A$2:$A$201,0))),I169)&amp;"/","")&amp;IF(H169&lt;&gt;"",IFERROR(IF(INDEX($E$2:$E$201,MATCH(H169,$A$2:$A$201,0))="",H169,INDEX($E$2:$E$201,MATCH(H169,$A$2:$A$201,0))),H169)&amp;"/","")&amp;IF(E169="",A169,E169))</f>
        <v/>
      </c>
      <c r="G169" s="10" t="str">
        <f aca="false">IF(A169="","",IF(SUMPRODUCT(--EXACT($A$2:$A$201,A169))&gt;1,"Duplicate ID",IF(SUMPRODUCT(--EXACT('1 Types'!$A$2:$A$201,C169))=0,"Type is not on the Types sheet",IF(AND(D169&lt;&gt;"",NOT(SUMPRODUCT(--EXACT($A$2:$A$201,D169))&gt;0)),"Parent is not an asset",IF(AND(D169="",IFERROR(INDEX('1 Types'!$E$2:$E$201,MATCH(C169,'1 Types'!$A$2:$A$201,0)),"")&lt;&gt;"yes"),"Needs a parent",IF(OR(L169&lt;&gt;"",H169=A169,I169=A169,J169=A169,K169=A169),"Parent loop, or more than five levels","ok"))))))</f>
        <v/>
      </c>
      <c r="H169" s="10" t="str">
        <f aca="false">IF(A169="","",D169)</f>
        <v/>
      </c>
      <c r="I169" s="10" t="str">
        <f aca="false">IF(H169="","",IFERROR(INDEX($D$2:$D$201,MATCH(H169,$A$2:$A$201,0)),""))</f>
        <v/>
      </c>
      <c r="J169" s="10" t="str">
        <f aca="false">IF(I169="","",IFERROR(INDEX($D$2:$D$201,MATCH(I169,$A$2:$A$201,0)),""))</f>
        <v/>
      </c>
      <c r="K169" s="10" t="str">
        <f aca="false">IF(J169="","",IFERROR(INDEX($D$2:$D$201,MATCH(J169,$A$2:$A$201,0)),""))</f>
        <v/>
      </c>
      <c r="L169" s="10" t="str">
        <f aca="false">IF(K169="","",IFERROR(INDEX($D$2:$D$201,MATCH(K169,$A$2:$A$201,0)),""))</f>
        <v/>
      </c>
      <c r="M169" s="10" t="str">
        <f aca="false">IF(A169="","",IF(K169&lt;&gt;"",K169,IF(J169&lt;&gt;"",J169,IF(I169&lt;&gt;"",I169,IF(H169&lt;&gt;"",H169,A169)))))</f>
        <v/>
      </c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10" t="str">
        <f aca="false">IF(A170="","",IF(K170&lt;&gt;"",IFERROR(IF(INDEX($E$2:$E$201,MATCH(K170,$A$2:$A$201,0))="",K170,INDEX($E$2:$E$201,MATCH(K170,$A$2:$A$201,0))),K170)&amp;"/","")&amp;IF(J170&lt;&gt;"",IFERROR(IF(INDEX($E$2:$E$201,MATCH(J170,$A$2:$A$201,0))="",J170,INDEX($E$2:$E$201,MATCH(J170,$A$2:$A$201,0))),J170)&amp;"/","")&amp;IF(I170&lt;&gt;"",IFERROR(IF(INDEX($E$2:$E$201,MATCH(I170,$A$2:$A$201,0))="",I170,INDEX($E$2:$E$201,MATCH(I170,$A$2:$A$201,0))),I170)&amp;"/","")&amp;IF(H170&lt;&gt;"",IFERROR(IF(INDEX($E$2:$E$201,MATCH(H170,$A$2:$A$201,0))="",H170,INDEX($E$2:$E$201,MATCH(H170,$A$2:$A$201,0))),H170)&amp;"/","")&amp;IF(E170="",A170,E170))</f>
        <v/>
      </c>
      <c r="G170" s="10" t="str">
        <f aca="false">IF(A170="","",IF(SUMPRODUCT(--EXACT($A$2:$A$201,A170))&gt;1,"Duplicate ID",IF(SUMPRODUCT(--EXACT('1 Types'!$A$2:$A$201,C170))=0,"Type is not on the Types sheet",IF(AND(D170&lt;&gt;"",NOT(SUMPRODUCT(--EXACT($A$2:$A$201,D170))&gt;0)),"Parent is not an asset",IF(AND(D170="",IFERROR(INDEX('1 Types'!$E$2:$E$201,MATCH(C170,'1 Types'!$A$2:$A$201,0)),"")&lt;&gt;"yes"),"Needs a parent",IF(OR(L170&lt;&gt;"",H170=A170,I170=A170,J170=A170,K170=A170),"Parent loop, or more than five levels","ok"))))))</f>
        <v/>
      </c>
      <c r="H170" s="10" t="str">
        <f aca="false">IF(A170="","",D170)</f>
        <v/>
      </c>
      <c r="I170" s="10" t="str">
        <f aca="false">IF(H170="","",IFERROR(INDEX($D$2:$D$201,MATCH(H170,$A$2:$A$201,0)),""))</f>
        <v/>
      </c>
      <c r="J170" s="10" t="str">
        <f aca="false">IF(I170="","",IFERROR(INDEX($D$2:$D$201,MATCH(I170,$A$2:$A$201,0)),""))</f>
        <v/>
      </c>
      <c r="K170" s="10" t="str">
        <f aca="false">IF(J170="","",IFERROR(INDEX($D$2:$D$201,MATCH(J170,$A$2:$A$201,0)),""))</f>
        <v/>
      </c>
      <c r="L170" s="10" t="str">
        <f aca="false">IF(K170="","",IFERROR(INDEX($D$2:$D$201,MATCH(K170,$A$2:$A$201,0)),""))</f>
        <v/>
      </c>
      <c r="M170" s="10" t="str">
        <f aca="false">IF(A170="","",IF(K170&lt;&gt;"",K170,IF(J170&lt;&gt;"",J170,IF(I170&lt;&gt;"",I170,IF(H170&lt;&gt;"",H170,A170)))))</f>
        <v/>
      </c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10" t="str">
        <f aca="false">IF(A171="","",IF(K171&lt;&gt;"",IFERROR(IF(INDEX($E$2:$E$201,MATCH(K171,$A$2:$A$201,0))="",K171,INDEX($E$2:$E$201,MATCH(K171,$A$2:$A$201,0))),K171)&amp;"/","")&amp;IF(J171&lt;&gt;"",IFERROR(IF(INDEX($E$2:$E$201,MATCH(J171,$A$2:$A$201,0))="",J171,INDEX($E$2:$E$201,MATCH(J171,$A$2:$A$201,0))),J171)&amp;"/","")&amp;IF(I171&lt;&gt;"",IFERROR(IF(INDEX($E$2:$E$201,MATCH(I171,$A$2:$A$201,0))="",I171,INDEX($E$2:$E$201,MATCH(I171,$A$2:$A$201,0))),I171)&amp;"/","")&amp;IF(H171&lt;&gt;"",IFERROR(IF(INDEX($E$2:$E$201,MATCH(H171,$A$2:$A$201,0))="",H171,INDEX($E$2:$E$201,MATCH(H171,$A$2:$A$201,0))),H171)&amp;"/","")&amp;IF(E171="",A171,E171))</f>
        <v/>
      </c>
      <c r="G171" s="10" t="str">
        <f aca="false">IF(A171="","",IF(SUMPRODUCT(--EXACT($A$2:$A$201,A171))&gt;1,"Duplicate ID",IF(SUMPRODUCT(--EXACT('1 Types'!$A$2:$A$201,C171))=0,"Type is not on the Types sheet",IF(AND(D171&lt;&gt;"",NOT(SUMPRODUCT(--EXACT($A$2:$A$201,D171))&gt;0)),"Parent is not an asset",IF(AND(D171="",IFERROR(INDEX('1 Types'!$E$2:$E$201,MATCH(C171,'1 Types'!$A$2:$A$201,0)),"")&lt;&gt;"yes"),"Needs a parent",IF(OR(L171&lt;&gt;"",H171=A171,I171=A171,J171=A171,K171=A171),"Parent loop, or more than five levels","ok"))))))</f>
        <v/>
      </c>
      <c r="H171" s="10" t="str">
        <f aca="false">IF(A171="","",D171)</f>
        <v/>
      </c>
      <c r="I171" s="10" t="str">
        <f aca="false">IF(H171="","",IFERROR(INDEX($D$2:$D$201,MATCH(H171,$A$2:$A$201,0)),""))</f>
        <v/>
      </c>
      <c r="J171" s="10" t="str">
        <f aca="false">IF(I171="","",IFERROR(INDEX($D$2:$D$201,MATCH(I171,$A$2:$A$201,0)),""))</f>
        <v/>
      </c>
      <c r="K171" s="10" t="str">
        <f aca="false">IF(J171="","",IFERROR(INDEX($D$2:$D$201,MATCH(J171,$A$2:$A$201,0)),""))</f>
        <v/>
      </c>
      <c r="L171" s="10" t="str">
        <f aca="false">IF(K171="","",IFERROR(INDEX($D$2:$D$201,MATCH(K171,$A$2:$A$201,0)),""))</f>
        <v/>
      </c>
      <c r="M171" s="10" t="str">
        <f aca="false">IF(A171="","",IF(K171&lt;&gt;"",K171,IF(J171&lt;&gt;"",J171,IF(I171&lt;&gt;"",I171,IF(H171&lt;&gt;"",H171,A171)))))</f>
        <v/>
      </c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10" t="str">
        <f aca="false">IF(A172="","",IF(K172&lt;&gt;"",IFERROR(IF(INDEX($E$2:$E$201,MATCH(K172,$A$2:$A$201,0))="",K172,INDEX($E$2:$E$201,MATCH(K172,$A$2:$A$201,0))),K172)&amp;"/","")&amp;IF(J172&lt;&gt;"",IFERROR(IF(INDEX($E$2:$E$201,MATCH(J172,$A$2:$A$201,0))="",J172,INDEX($E$2:$E$201,MATCH(J172,$A$2:$A$201,0))),J172)&amp;"/","")&amp;IF(I172&lt;&gt;"",IFERROR(IF(INDEX($E$2:$E$201,MATCH(I172,$A$2:$A$201,0))="",I172,INDEX($E$2:$E$201,MATCH(I172,$A$2:$A$201,0))),I172)&amp;"/","")&amp;IF(H172&lt;&gt;"",IFERROR(IF(INDEX($E$2:$E$201,MATCH(H172,$A$2:$A$201,0))="",H172,INDEX($E$2:$E$201,MATCH(H172,$A$2:$A$201,0))),H172)&amp;"/","")&amp;IF(E172="",A172,E172))</f>
        <v/>
      </c>
      <c r="G172" s="10" t="str">
        <f aca="false">IF(A172="","",IF(SUMPRODUCT(--EXACT($A$2:$A$201,A172))&gt;1,"Duplicate ID",IF(SUMPRODUCT(--EXACT('1 Types'!$A$2:$A$201,C172))=0,"Type is not on the Types sheet",IF(AND(D172&lt;&gt;"",NOT(SUMPRODUCT(--EXACT($A$2:$A$201,D172))&gt;0)),"Parent is not an asset",IF(AND(D172="",IFERROR(INDEX('1 Types'!$E$2:$E$201,MATCH(C172,'1 Types'!$A$2:$A$201,0)),"")&lt;&gt;"yes"),"Needs a parent",IF(OR(L172&lt;&gt;"",H172=A172,I172=A172,J172=A172,K172=A172),"Parent loop, or more than five levels","ok"))))))</f>
        <v/>
      </c>
      <c r="H172" s="10" t="str">
        <f aca="false">IF(A172="","",D172)</f>
        <v/>
      </c>
      <c r="I172" s="10" t="str">
        <f aca="false">IF(H172="","",IFERROR(INDEX($D$2:$D$201,MATCH(H172,$A$2:$A$201,0)),""))</f>
        <v/>
      </c>
      <c r="J172" s="10" t="str">
        <f aca="false">IF(I172="","",IFERROR(INDEX($D$2:$D$201,MATCH(I172,$A$2:$A$201,0)),""))</f>
        <v/>
      </c>
      <c r="K172" s="10" t="str">
        <f aca="false">IF(J172="","",IFERROR(INDEX($D$2:$D$201,MATCH(J172,$A$2:$A$201,0)),""))</f>
        <v/>
      </c>
      <c r="L172" s="10" t="str">
        <f aca="false">IF(K172="","",IFERROR(INDEX($D$2:$D$201,MATCH(K172,$A$2:$A$201,0)),""))</f>
        <v/>
      </c>
      <c r="M172" s="10" t="str">
        <f aca="false">IF(A172="","",IF(K172&lt;&gt;"",K172,IF(J172&lt;&gt;"",J172,IF(I172&lt;&gt;"",I172,IF(H172&lt;&gt;"",H172,A172)))))</f>
        <v/>
      </c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10" t="str">
        <f aca="false">IF(A173="","",IF(K173&lt;&gt;"",IFERROR(IF(INDEX($E$2:$E$201,MATCH(K173,$A$2:$A$201,0))="",K173,INDEX($E$2:$E$201,MATCH(K173,$A$2:$A$201,0))),K173)&amp;"/","")&amp;IF(J173&lt;&gt;"",IFERROR(IF(INDEX($E$2:$E$201,MATCH(J173,$A$2:$A$201,0))="",J173,INDEX($E$2:$E$201,MATCH(J173,$A$2:$A$201,0))),J173)&amp;"/","")&amp;IF(I173&lt;&gt;"",IFERROR(IF(INDEX($E$2:$E$201,MATCH(I173,$A$2:$A$201,0))="",I173,INDEX($E$2:$E$201,MATCH(I173,$A$2:$A$201,0))),I173)&amp;"/","")&amp;IF(H173&lt;&gt;"",IFERROR(IF(INDEX($E$2:$E$201,MATCH(H173,$A$2:$A$201,0))="",H173,INDEX($E$2:$E$201,MATCH(H173,$A$2:$A$201,0))),H173)&amp;"/","")&amp;IF(E173="",A173,E173))</f>
        <v/>
      </c>
      <c r="G173" s="10" t="str">
        <f aca="false">IF(A173="","",IF(SUMPRODUCT(--EXACT($A$2:$A$201,A173))&gt;1,"Duplicate ID",IF(SUMPRODUCT(--EXACT('1 Types'!$A$2:$A$201,C173))=0,"Type is not on the Types sheet",IF(AND(D173&lt;&gt;"",NOT(SUMPRODUCT(--EXACT($A$2:$A$201,D173))&gt;0)),"Parent is not an asset",IF(AND(D173="",IFERROR(INDEX('1 Types'!$E$2:$E$201,MATCH(C173,'1 Types'!$A$2:$A$201,0)),"")&lt;&gt;"yes"),"Needs a parent",IF(OR(L173&lt;&gt;"",H173=A173,I173=A173,J173=A173,K173=A173),"Parent loop, or more than five levels","ok"))))))</f>
        <v/>
      </c>
      <c r="H173" s="10" t="str">
        <f aca="false">IF(A173="","",D173)</f>
        <v/>
      </c>
      <c r="I173" s="10" t="str">
        <f aca="false">IF(H173="","",IFERROR(INDEX($D$2:$D$201,MATCH(H173,$A$2:$A$201,0)),""))</f>
        <v/>
      </c>
      <c r="J173" s="10" t="str">
        <f aca="false">IF(I173="","",IFERROR(INDEX($D$2:$D$201,MATCH(I173,$A$2:$A$201,0)),""))</f>
        <v/>
      </c>
      <c r="K173" s="10" t="str">
        <f aca="false">IF(J173="","",IFERROR(INDEX($D$2:$D$201,MATCH(J173,$A$2:$A$201,0)),""))</f>
        <v/>
      </c>
      <c r="L173" s="10" t="str">
        <f aca="false">IF(K173="","",IFERROR(INDEX($D$2:$D$201,MATCH(K173,$A$2:$A$201,0)),""))</f>
        <v/>
      </c>
      <c r="M173" s="10" t="str">
        <f aca="false">IF(A173="","",IF(K173&lt;&gt;"",K173,IF(J173&lt;&gt;"",J173,IF(I173&lt;&gt;"",I173,IF(H173&lt;&gt;"",H173,A173)))))</f>
        <v/>
      </c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10" t="str">
        <f aca="false">IF(A174="","",IF(K174&lt;&gt;"",IFERROR(IF(INDEX($E$2:$E$201,MATCH(K174,$A$2:$A$201,0))="",K174,INDEX($E$2:$E$201,MATCH(K174,$A$2:$A$201,0))),K174)&amp;"/","")&amp;IF(J174&lt;&gt;"",IFERROR(IF(INDEX($E$2:$E$201,MATCH(J174,$A$2:$A$201,0))="",J174,INDEX($E$2:$E$201,MATCH(J174,$A$2:$A$201,0))),J174)&amp;"/","")&amp;IF(I174&lt;&gt;"",IFERROR(IF(INDEX($E$2:$E$201,MATCH(I174,$A$2:$A$201,0))="",I174,INDEX($E$2:$E$201,MATCH(I174,$A$2:$A$201,0))),I174)&amp;"/","")&amp;IF(H174&lt;&gt;"",IFERROR(IF(INDEX($E$2:$E$201,MATCH(H174,$A$2:$A$201,0))="",H174,INDEX($E$2:$E$201,MATCH(H174,$A$2:$A$201,0))),H174)&amp;"/","")&amp;IF(E174="",A174,E174))</f>
        <v/>
      </c>
      <c r="G174" s="10" t="str">
        <f aca="false">IF(A174="","",IF(SUMPRODUCT(--EXACT($A$2:$A$201,A174))&gt;1,"Duplicate ID",IF(SUMPRODUCT(--EXACT('1 Types'!$A$2:$A$201,C174))=0,"Type is not on the Types sheet",IF(AND(D174&lt;&gt;"",NOT(SUMPRODUCT(--EXACT($A$2:$A$201,D174))&gt;0)),"Parent is not an asset",IF(AND(D174="",IFERROR(INDEX('1 Types'!$E$2:$E$201,MATCH(C174,'1 Types'!$A$2:$A$201,0)),"")&lt;&gt;"yes"),"Needs a parent",IF(OR(L174&lt;&gt;"",H174=A174,I174=A174,J174=A174,K174=A174),"Parent loop, or more than five levels","ok"))))))</f>
        <v/>
      </c>
      <c r="H174" s="10" t="str">
        <f aca="false">IF(A174="","",D174)</f>
        <v/>
      </c>
      <c r="I174" s="10" t="str">
        <f aca="false">IF(H174="","",IFERROR(INDEX($D$2:$D$201,MATCH(H174,$A$2:$A$201,0)),""))</f>
        <v/>
      </c>
      <c r="J174" s="10" t="str">
        <f aca="false">IF(I174="","",IFERROR(INDEX($D$2:$D$201,MATCH(I174,$A$2:$A$201,0)),""))</f>
        <v/>
      </c>
      <c r="K174" s="10" t="str">
        <f aca="false">IF(J174="","",IFERROR(INDEX($D$2:$D$201,MATCH(J174,$A$2:$A$201,0)),""))</f>
        <v/>
      </c>
      <c r="L174" s="10" t="str">
        <f aca="false">IF(K174="","",IFERROR(INDEX($D$2:$D$201,MATCH(K174,$A$2:$A$201,0)),""))</f>
        <v/>
      </c>
      <c r="M174" s="10" t="str">
        <f aca="false">IF(A174="","",IF(K174&lt;&gt;"",K174,IF(J174&lt;&gt;"",J174,IF(I174&lt;&gt;"",I174,IF(H174&lt;&gt;"",H174,A174)))))</f>
        <v/>
      </c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10" t="str">
        <f aca="false">IF(A175="","",IF(K175&lt;&gt;"",IFERROR(IF(INDEX($E$2:$E$201,MATCH(K175,$A$2:$A$201,0))="",K175,INDEX($E$2:$E$201,MATCH(K175,$A$2:$A$201,0))),K175)&amp;"/","")&amp;IF(J175&lt;&gt;"",IFERROR(IF(INDEX($E$2:$E$201,MATCH(J175,$A$2:$A$201,0))="",J175,INDEX($E$2:$E$201,MATCH(J175,$A$2:$A$201,0))),J175)&amp;"/","")&amp;IF(I175&lt;&gt;"",IFERROR(IF(INDEX($E$2:$E$201,MATCH(I175,$A$2:$A$201,0))="",I175,INDEX($E$2:$E$201,MATCH(I175,$A$2:$A$201,0))),I175)&amp;"/","")&amp;IF(H175&lt;&gt;"",IFERROR(IF(INDEX($E$2:$E$201,MATCH(H175,$A$2:$A$201,0))="",H175,INDEX($E$2:$E$201,MATCH(H175,$A$2:$A$201,0))),H175)&amp;"/","")&amp;IF(E175="",A175,E175))</f>
        <v/>
      </c>
      <c r="G175" s="10" t="str">
        <f aca="false">IF(A175="","",IF(SUMPRODUCT(--EXACT($A$2:$A$201,A175))&gt;1,"Duplicate ID",IF(SUMPRODUCT(--EXACT('1 Types'!$A$2:$A$201,C175))=0,"Type is not on the Types sheet",IF(AND(D175&lt;&gt;"",NOT(SUMPRODUCT(--EXACT($A$2:$A$201,D175))&gt;0)),"Parent is not an asset",IF(AND(D175="",IFERROR(INDEX('1 Types'!$E$2:$E$201,MATCH(C175,'1 Types'!$A$2:$A$201,0)),"")&lt;&gt;"yes"),"Needs a parent",IF(OR(L175&lt;&gt;"",H175=A175,I175=A175,J175=A175,K175=A175),"Parent loop, or more than five levels","ok"))))))</f>
        <v/>
      </c>
      <c r="H175" s="10" t="str">
        <f aca="false">IF(A175="","",D175)</f>
        <v/>
      </c>
      <c r="I175" s="10" t="str">
        <f aca="false">IF(H175="","",IFERROR(INDEX($D$2:$D$201,MATCH(H175,$A$2:$A$201,0)),""))</f>
        <v/>
      </c>
      <c r="J175" s="10" t="str">
        <f aca="false">IF(I175="","",IFERROR(INDEX($D$2:$D$201,MATCH(I175,$A$2:$A$201,0)),""))</f>
        <v/>
      </c>
      <c r="K175" s="10" t="str">
        <f aca="false">IF(J175="","",IFERROR(INDEX($D$2:$D$201,MATCH(J175,$A$2:$A$201,0)),""))</f>
        <v/>
      </c>
      <c r="L175" s="10" t="str">
        <f aca="false">IF(K175="","",IFERROR(INDEX($D$2:$D$201,MATCH(K175,$A$2:$A$201,0)),""))</f>
        <v/>
      </c>
      <c r="M175" s="10" t="str">
        <f aca="false">IF(A175="","",IF(K175&lt;&gt;"",K175,IF(J175&lt;&gt;"",J175,IF(I175&lt;&gt;"",I175,IF(H175&lt;&gt;"",H175,A175)))))</f>
        <v/>
      </c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10" t="str">
        <f aca="false">IF(A176="","",IF(K176&lt;&gt;"",IFERROR(IF(INDEX($E$2:$E$201,MATCH(K176,$A$2:$A$201,0))="",K176,INDEX($E$2:$E$201,MATCH(K176,$A$2:$A$201,0))),K176)&amp;"/","")&amp;IF(J176&lt;&gt;"",IFERROR(IF(INDEX($E$2:$E$201,MATCH(J176,$A$2:$A$201,0))="",J176,INDEX($E$2:$E$201,MATCH(J176,$A$2:$A$201,0))),J176)&amp;"/","")&amp;IF(I176&lt;&gt;"",IFERROR(IF(INDEX($E$2:$E$201,MATCH(I176,$A$2:$A$201,0))="",I176,INDEX($E$2:$E$201,MATCH(I176,$A$2:$A$201,0))),I176)&amp;"/","")&amp;IF(H176&lt;&gt;"",IFERROR(IF(INDEX($E$2:$E$201,MATCH(H176,$A$2:$A$201,0))="",H176,INDEX($E$2:$E$201,MATCH(H176,$A$2:$A$201,0))),H176)&amp;"/","")&amp;IF(E176="",A176,E176))</f>
        <v/>
      </c>
      <c r="G176" s="10" t="str">
        <f aca="false">IF(A176="","",IF(SUMPRODUCT(--EXACT($A$2:$A$201,A176))&gt;1,"Duplicate ID",IF(SUMPRODUCT(--EXACT('1 Types'!$A$2:$A$201,C176))=0,"Type is not on the Types sheet",IF(AND(D176&lt;&gt;"",NOT(SUMPRODUCT(--EXACT($A$2:$A$201,D176))&gt;0)),"Parent is not an asset",IF(AND(D176="",IFERROR(INDEX('1 Types'!$E$2:$E$201,MATCH(C176,'1 Types'!$A$2:$A$201,0)),"")&lt;&gt;"yes"),"Needs a parent",IF(OR(L176&lt;&gt;"",H176=A176,I176=A176,J176=A176,K176=A176),"Parent loop, or more than five levels","ok"))))))</f>
        <v/>
      </c>
      <c r="H176" s="10" t="str">
        <f aca="false">IF(A176="","",D176)</f>
        <v/>
      </c>
      <c r="I176" s="10" t="str">
        <f aca="false">IF(H176="","",IFERROR(INDEX($D$2:$D$201,MATCH(H176,$A$2:$A$201,0)),""))</f>
        <v/>
      </c>
      <c r="J176" s="10" t="str">
        <f aca="false">IF(I176="","",IFERROR(INDEX($D$2:$D$201,MATCH(I176,$A$2:$A$201,0)),""))</f>
        <v/>
      </c>
      <c r="K176" s="10" t="str">
        <f aca="false">IF(J176="","",IFERROR(INDEX($D$2:$D$201,MATCH(J176,$A$2:$A$201,0)),""))</f>
        <v/>
      </c>
      <c r="L176" s="10" t="str">
        <f aca="false">IF(K176="","",IFERROR(INDEX($D$2:$D$201,MATCH(K176,$A$2:$A$201,0)),""))</f>
        <v/>
      </c>
      <c r="M176" s="10" t="str">
        <f aca="false">IF(A176="","",IF(K176&lt;&gt;"",K176,IF(J176&lt;&gt;"",J176,IF(I176&lt;&gt;"",I176,IF(H176&lt;&gt;"",H176,A176)))))</f>
        <v/>
      </c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10" t="str">
        <f aca="false">IF(A177="","",IF(K177&lt;&gt;"",IFERROR(IF(INDEX($E$2:$E$201,MATCH(K177,$A$2:$A$201,0))="",K177,INDEX($E$2:$E$201,MATCH(K177,$A$2:$A$201,0))),K177)&amp;"/","")&amp;IF(J177&lt;&gt;"",IFERROR(IF(INDEX($E$2:$E$201,MATCH(J177,$A$2:$A$201,0))="",J177,INDEX($E$2:$E$201,MATCH(J177,$A$2:$A$201,0))),J177)&amp;"/","")&amp;IF(I177&lt;&gt;"",IFERROR(IF(INDEX($E$2:$E$201,MATCH(I177,$A$2:$A$201,0))="",I177,INDEX($E$2:$E$201,MATCH(I177,$A$2:$A$201,0))),I177)&amp;"/","")&amp;IF(H177&lt;&gt;"",IFERROR(IF(INDEX($E$2:$E$201,MATCH(H177,$A$2:$A$201,0))="",H177,INDEX($E$2:$E$201,MATCH(H177,$A$2:$A$201,0))),H177)&amp;"/","")&amp;IF(E177="",A177,E177))</f>
        <v/>
      </c>
      <c r="G177" s="10" t="str">
        <f aca="false">IF(A177="","",IF(SUMPRODUCT(--EXACT($A$2:$A$201,A177))&gt;1,"Duplicate ID",IF(SUMPRODUCT(--EXACT('1 Types'!$A$2:$A$201,C177))=0,"Type is not on the Types sheet",IF(AND(D177&lt;&gt;"",NOT(SUMPRODUCT(--EXACT($A$2:$A$201,D177))&gt;0)),"Parent is not an asset",IF(AND(D177="",IFERROR(INDEX('1 Types'!$E$2:$E$201,MATCH(C177,'1 Types'!$A$2:$A$201,0)),"")&lt;&gt;"yes"),"Needs a parent",IF(OR(L177&lt;&gt;"",H177=A177,I177=A177,J177=A177,K177=A177),"Parent loop, or more than five levels","ok"))))))</f>
        <v/>
      </c>
      <c r="H177" s="10" t="str">
        <f aca="false">IF(A177="","",D177)</f>
        <v/>
      </c>
      <c r="I177" s="10" t="str">
        <f aca="false">IF(H177="","",IFERROR(INDEX($D$2:$D$201,MATCH(H177,$A$2:$A$201,0)),""))</f>
        <v/>
      </c>
      <c r="J177" s="10" t="str">
        <f aca="false">IF(I177="","",IFERROR(INDEX($D$2:$D$201,MATCH(I177,$A$2:$A$201,0)),""))</f>
        <v/>
      </c>
      <c r="K177" s="10" t="str">
        <f aca="false">IF(J177="","",IFERROR(INDEX($D$2:$D$201,MATCH(J177,$A$2:$A$201,0)),""))</f>
        <v/>
      </c>
      <c r="L177" s="10" t="str">
        <f aca="false">IF(K177="","",IFERROR(INDEX($D$2:$D$201,MATCH(K177,$A$2:$A$201,0)),""))</f>
        <v/>
      </c>
      <c r="M177" s="10" t="str">
        <f aca="false">IF(A177="","",IF(K177&lt;&gt;"",K177,IF(J177&lt;&gt;"",J177,IF(I177&lt;&gt;"",I177,IF(H177&lt;&gt;"",H177,A177)))))</f>
        <v/>
      </c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10" t="str">
        <f aca="false">IF(A178="","",IF(K178&lt;&gt;"",IFERROR(IF(INDEX($E$2:$E$201,MATCH(K178,$A$2:$A$201,0))="",K178,INDEX($E$2:$E$201,MATCH(K178,$A$2:$A$201,0))),K178)&amp;"/","")&amp;IF(J178&lt;&gt;"",IFERROR(IF(INDEX($E$2:$E$201,MATCH(J178,$A$2:$A$201,0))="",J178,INDEX($E$2:$E$201,MATCH(J178,$A$2:$A$201,0))),J178)&amp;"/","")&amp;IF(I178&lt;&gt;"",IFERROR(IF(INDEX($E$2:$E$201,MATCH(I178,$A$2:$A$201,0))="",I178,INDEX($E$2:$E$201,MATCH(I178,$A$2:$A$201,0))),I178)&amp;"/","")&amp;IF(H178&lt;&gt;"",IFERROR(IF(INDEX($E$2:$E$201,MATCH(H178,$A$2:$A$201,0))="",H178,INDEX($E$2:$E$201,MATCH(H178,$A$2:$A$201,0))),H178)&amp;"/","")&amp;IF(E178="",A178,E178))</f>
        <v/>
      </c>
      <c r="G178" s="10" t="str">
        <f aca="false">IF(A178="","",IF(SUMPRODUCT(--EXACT($A$2:$A$201,A178))&gt;1,"Duplicate ID",IF(SUMPRODUCT(--EXACT('1 Types'!$A$2:$A$201,C178))=0,"Type is not on the Types sheet",IF(AND(D178&lt;&gt;"",NOT(SUMPRODUCT(--EXACT($A$2:$A$201,D178))&gt;0)),"Parent is not an asset",IF(AND(D178="",IFERROR(INDEX('1 Types'!$E$2:$E$201,MATCH(C178,'1 Types'!$A$2:$A$201,0)),"")&lt;&gt;"yes"),"Needs a parent",IF(OR(L178&lt;&gt;"",H178=A178,I178=A178,J178=A178,K178=A178),"Parent loop, or more than five levels","ok"))))))</f>
        <v/>
      </c>
      <c r="H178" s="10" t="str">
        <f aca="false">IF(A178="","",D178)</f>
        <v/>
      </c>
      <c r="I178" s="10" t="str">
        <f aca="false">IF(H178="","",IFERROR(INDEX($D$2:$D$201,MATCH(H178,$A$2:$A$201,0)),""))</f>
        <v/>
      </c>
      <c r="J178" s="10" t="str">
        <f aca="false">IF(I178="","",IFERROR(INDEX($D$2:$D$201,MATCH(I178,$A$2:$A$201,0)),""))</f>
        <v/>
      </c>
      <c r="K178" s="10" t="str">
        <f aca="false">IF(J178="","",IFERROR(INDEX($D$2:$D$201,MATCH(J178,$A$2:$A$201,0)),""))</f>
        <v/>
      </c>
      <c r="L178" s="10" t="str">
        <f aca="false">IF(K178="","",IFERROR(INDEX($D$2:$D$201,MATCH(K178,$A$2:$A$201,0)),""))</f>
        <v/>
      </c>
      <c r="M178" s="10" t="str">
        <f aca="false">IF(A178="","",IF(K178&lt;&gt;"",K178,IF(J178&lt;&gt;"",J178,IF(I178&lt;&gt;"",I178,IF(H178&lt;&gt;"",H178,A178)))))</f>
        <v/>
      </c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10" t="str">
        <f aca="false">IF(A179="","",IF(K179&lt;&gt;"",IFERROR(IF(INDEX($E$2:$E$201,MATCH(K179,$A$2:$A$201,0))="",K179,INDEX($E$2:$E$201,MATCH(K179,$A$2:$A$201,0))),K179)&amp;"/","")&amp;IF(J179&lt;&gt;"",IFERROR(IF(INDEX($E$2:$E$201,MATCH(J179,$A$2:$A$201,0))="",J179,INDEX($E$2:$E$201,MATCH(J179,$A$2:$A$201,0))),J179)&amp;"/","")&amp;IF(I179&lt;&gt;"",IFERROR(IF(INDEX($E$2:$E$201,MATCH(I179,$A$2:$A$201,0))="",I179,INDEX($E$2:$E$201,MATCH(I179,$A$2:$A$201,0))),I179)&amp;"/","")&amp;IF(H179&lt;&gt;"",IFERROR(IF(INDEX($E$2:$E$201,MATCH(H179,$A$2:$A$201,0))="",H179,INDEX($E$2:$E$201,MATCH(H179,$A$2:$A$201,0))),H179)&amp;"/","")&amp;IF(E179="",A179,E179))</f>
        <v/>
      </c>
      <c r="G179" s="10" t="str">
        <f aca="false">IF(A179="","",IF(SUMPRODUCT(--EXACT($A$2:$A$201,A179))&gt;1,"Duplicate ID",IF(SUMPRODUCT(--EXACT('1 Types'!$A$2:$A$201,C179))=0,"Type is not on the Types sheet",IF(AND(D179&lt;&gt;"",NOT(SUMPRODUCT(--EXACT($A$2:$A$201,D179))&gt;0)),"Parent is not an asset",IF(AND(D179="",IFERROR(INDEX('1 Types'!$E$2:$E$201,MATCH(C179,'1 Types'!$A$2:$A$201,0)),"")&lt;&gt;"yes"),"Needs a parent",IF(OR(L179&lt;&gt;"",H179=A179,I179=A179,J179=A179,K179=A179),"Parent loop, or more than five levels","ok"))))))</f>
        <v/>
      </c>
      <c r="H179" s="10" t="str">
        <f aca="false">IF(A179="","",D179)</f>
        <v/>
      </c>
      <c r="I179" s="10" t="str">
        <f aca="false">IF(H179="","",IFERROR(INDEX($D$2:$D$201,MATCH(H179,$A$2:$A$201,0)),""))</f>
        <v/>
      </c>
      <c r="J179" s="10" t="str">
        <f aca="false">IF(I179="","",IFERROR(INDEX($D$2:$D$201,MATCH(I179,$A$2:$A$201,0)),""))</f>
        <v/>
      </c>
      <c r="K179" s="10" t="str">
        <f aca="false">IF(J179="","",IFERROR(INDEX($D$2:$D$201,MATCH(J179,$A$2:$A$201,0)),""))</f>
        <v/>
      </c>
      <c r="L179" s="10" t="str">
        <f aca="false">IF(K179="","",IFERROR(INDEX($D$2:$D$201,MATCH(K179,$A$2:$A$201,0)),""))</f>
        <v/>
      </c>
      <c r="M179" s="10" t="str">
        <f aca="false">IF(A179="","",IF(K179&lt;&gt;"",K179,IF(J179&lt;&gt;"",J179,IF(I179&lt;&gt;"",I179,IF(H179&lt;&gt;"",H179,A179)))))</f>
        <v/>
      </c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10" t="str">
        <f aca="false">IF(A180="","",IF(K180&lt;&gt;"",IFERROR(IF(INDEX($E$2:$E$201,MATCH(K180,$A$2:$A$201,0))="",K180,INDEX($E$2:$E$201,MATCH(K180,$A$2:$A$201,0))),K180)&amp;"/","")&amp;IF(J180&lt;&gt;"",IFERROR(IF(INDEX($E$2:$E$201,MATCH(J180,$A$2:$A$201,0))="",J180,INDEX($E$2:$E$201,MATCH(J180,$A$2:$A$201,0))),J180)&amp;"/","")&amp;IF(I180&lt;&gt;"",IFERROR(IF(INDEX($E$2:$E$201,MATCH(I180,$A$2:$A$201,0))="",I180,INDEX($E$2:$E$201,MATCH(I180,$A$2:$A$201,0))),I180)&amp;"/","")&amp;IF(H180&lt;&gt;"",IFERROR(IF(INDEX($E$2:$E$201,MATCH(H180,$A$2:$A$201,0))="",H180,INDEX($E$2:$E$201,MATCH(H180,$A$2:$A$201,0))),H180)&amp;"/","")&amp;IF(E180="",A180,E180))</f>
        <v/>
      </c>
      <c r="G180" s="10" t="str">
        <f aca="false">IF(A180="","",IF(SUMPRODUCT(--EXACT($A$2:$A$201,A180))&gt;1,"Duplicate ID",IF(SUMPRODUCT(--EXACT('1 Types'!$A$2:$A$201,C180))=0,"Type is not on the Types sheet",IF(AND(D180&lt;&gt;"",NOT(SUMPRODUCT(--EXACT($A$2:$A$201,D180))&gt;0)),"Parent is not an asset",IF(AND(D180="",IFERROR(INDEX('1 Types'!$E$2:$E$201,MATCH(C180,'1 Types'!$A$2:$A$201,0)),"")&lt;&gt;"yes"),"Needs a parent",IF(OR(L180&lt;&gt;"",H180=A180,I180=A180,J180=A180,K180=A180),"Parent loop, or more than five levels","ok"))))))</f>
        <v/>
      </c>
      <c r="H180" s="10" t="str">
        <f aca="false">IF(A180="","",D180)</f>
        <v/>
      </c>
      <c r="I180" s="10" t="str">
        <f aca="false">IF(H180="","",IFERROR(INDEX($D$2:$D$201,MATCH(H180,$A$2:$A$201,0)),""))</f>
        <v/>
      </c>
      <c r="J180" s="10" t="str">
        <f aca="false">IF(I180="","",IFERROR(INDEX($D$2:$D$201,MATCH(I180,$A$2:$A$201,0)),""))</f>
        <v/>
      </c>
      <c r="K180" s="10" t="str">
        <f aca="false">IF(J180="","",IFERROR(INDEX($D$2:$D$201,MATCH(J180,$A$2:$A$201,0)),""))</f>
        <v/>
      </c>
      <c r="L180" s="10" t="str">
        <f aca="false">IF(K180="","",IFERROR(INDEX($D$2:$D$201,MATCH(K180,$A$2:$A$201,0)),""))</f>
        <v/>
      </c>
      <c r="M180" s="10" t="str">
        <f aca="false">IF(A180="","",IF(K180&lt;&gt;"",K180,IF(J180&lt;&gt;"",J180,IF(I180&lt;&gt;"",I180,IF(H180&lt;&gt;"",H180,A180)))))</f>
        <v/>
      </c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10" t="str">
        <f aca="false">IF(A181="","",IF(K181&lt;&gt;"",IFERROR(IF(INDEX($E$2:$E$201,MATCH(K181,$A$2:$A$201,0))="",K181,INDEX($E$2:$E$201,MATCH(K181,$A$2:$A$201,0))),K181)&amp;"/","")&amp;IF(J181&lt;&gt;"",IFERROR(IF(INDEX($E$2:$E$201,MATCH(J181,$A$2:$A$201,0))="",J181,INDEX($E$2:$E$201,MATCH(J181,$A$2:$A$201,0))),J181)&amp;"/","")&amp;IF(I181&lt;&gt;"",IFERROR(IF(INDEX($E$2:$E$201,MATCH(I181,$A$2:$A$201,0))="",I181,INDEX($E$2:$E$201,MATCH(I181,$A$2:$A$201,0))),I181)&amp;"/","")&amp;IF(H181&lt;&gt;"",IFERROR(IF(INDEX($E$2:$E$201,MATCH(H181,$A$2:$A$201,0))="",H181,INDEX($E$2:$E$201,MATCH(H181,$A$2:$A$201,0))),H181)&amp;"/","")&amp;IF(E181="",A181,E181))</f>
        <v/>
      </c>
      <c r="G181" s="10" t="str">
        <f aca="false">IF(A181="","",IF(SUMPRODUCT(--EXACT($A$2:$A$201,A181))&gt;1,"Duplicate ID",IF(SUMPRODUCT(--EXACT('1 Types'!$A$2:$A$201,C181))=0,"Type is not on the Types sheet",IF(AND(D181&lt;&gt;"",NOT(SUMPRODUCT(--EXACT($A$2:$A$201,D181))&gt;0)),"Parent is not an asset",IF(AND(D181="",IFERROR(INDEX('1 Types'!$E$2:$E$201,MATCH(C181,'1 Types'!$A$2:$A$201,0)),"")&lt;&gt;"yes"),"Needs a parent",IF(OR(L181&lt;&gt;"",H181=A181,I181=A181,J181=A181,K181=A181),"Parent loop, or more than five levels","ok"))))))</f>
        <v/>
      </c>
      <c r="H181" s="10" t="str">
        <f aca="false">IF(A181="","",D181)</f>
        <v/>
      </c>
      <c r="I181" s="10" t="str">
        <f aca="false">IF(H181="","",IFERROR(INDEX($D$2:$D$201,MATCH(H181,$A$2:$A$201,0)),""))</f>
        <v/>
      </c>
      <c r="J181" s="10" t="str">
        <f aca="false">IF(I181="","",IFERROR(INDEX($D$2:$D$201,MATCH(I181,$A$2:$A$201,0)),""))</f>
        <v/>
      </c>
      <c r="K181" s="10" t="str">
        <f aca="false">IF(J181="","",IFERROR(INDEX($D$2:$D$201,MATCH(J181,$A$2:$A$201,0)),""))</f>
        <v/>
      </c>
      <c r="L181" s="10" t="str">
        <f aca="false">IF(K181="","",IFERROR(INDEX($D$2:$D$201,MATCH(K181,$A$2:$A$201,0)),""))</f>
        <v/>
      </c>
      <c r="M181" s="10" t="str">
        <f aca="false">IF(A181="","",IF(K181&lt;&gt;"",K181,IF(J181&lt;&gt;"",J181,IF(I181&lt;&gt;"",I181,IF(H181&lt;&gt;"",H181,A181)))))</f>
        <v/>
      </c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10" t="str">
        <f aca="false">IF(A182="","",IF(K182&lt;&gt;"",IFERROR(IF(INDEX($E$2:$E$201,MATCH(K182,$A$2:$A$201,0))="",K182,INDEX($E$2:$E$201,MATCH(K182,$A$2:$A$201,0))),K182)&amp;"/","")&amp;IF(J182&lt;&gt;"",IFERROR(IF(INDEX($E$2:$E$201,MATCH(J182,$A$2:$A$201,0))="",J182,INDEX($E$2:$E$201,MATCH(J182,$A$2:$A$201,0))),J182)&amp;"/","")&amp;IF(I182&lt;&gt;"",IFERROR(IF(INDEX($E$2:$E$201,MATCH(I182,$A$2:$A$201,0))="",I182,INDEX($E$2:$E$201,MATCH(I182,$A$2:$A$201,0))),I182)&amp;"/","")&amp;IF(H182&lt;&gt;"",IFERROR(IF(INDEX($E$2:$E$201,MATCH(H182,$A$2:$A$201,0))="",H182,INDEX($E$2:$E$201,MATCH(H182,$A$2:$A$201,0))),H182)&amp;"/","")&amp;IF(E182="",A182,E182))</f>
        <v/>
      </c>
      <c r="G182" s="10" t="str">
        <f aca="false">IF(A182="","",IF(SUMPRODUCT(--EXACT($A$2:$A$201,A182))&gt;1,"Duplicate ID",IF(SUMPRODUCT(--EXACT('1 Types'!$A$2:$A$201,C182))=0,"Type is not on the Types sheet",IF(AND(D182&lt;&gt;"",NOT(SUMPRODUCT(--EXACT($A$2:$A$201,D182))&gt;0)),"Parent is not an asset",IF(AND(D182="",IFERROR(INDEX('1 Types'!$E$2:$E$201,MATCH(C182,'1 Types'!$A$2:$A$201,0)),"")&lt;&gt;"yes"),"Needs a parent",IF(OR(L182&lt;&gt;"",H182=A182,I182=A182,J182=A182,K182=A182),"Parent loop, or more than five levels","ok"))))))</f>
        <v/>
      </c>
      <c r="H182" s="10" t="str">
        <f aca="false">IF(A182="","",D182)</f>
        <v/>
      </c>
      <c r="I182" s="10" t="str">
        <f aca="false">IF(H182="","",IFERROR(INDEX($D$2:$D$201,MATCH(H182,$A$2:$A$201,0)),""))</f>
        <v/>
      </c>
      <c r="J182" s="10" t="str">
        <f aca="false">IF(I182="","",IFERROR(INDEX($D$2:$D$201,MATCH(I182,$A$2:$A$201,0)),""))</f>
        <v/>
      </c>
      <c r="K182" s="10" t="str">
        <f aca="false">IF(J182="","",IFERROR(INDEX($D$2:$D$201,MATCH(J182,$A$2:$A$201,0)),""))</f>
        <v/>
      </c>
      <c r="L182" s="10" t="str">
        <f aca="false">IF(K182="","",IFERROR(INDEX($D$2:$D$201,MATCH(K182,$A$2:$A$201,0)),""))</f>
        <v/>
      </c>
      <c r="M182" s="10" t="str">
        <f aca="false">IF(A182="","",IF(K182&lt;&gt;"",K182,IF(J182&lt;&gt;"",J182,IF(I182&lt;&gt;"",I182,IF(H182&lt;&gt;"",H182,A182)))))</f>
        <v/>
      </c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10" t="str">
        <f aca="false">IF(A183="","",IF(K183&lt;&gt;"",IFERROR(IF(INDEX($E$2:$E$201,MATCH(K183,$A$2:$A$201,0))="",K183,INDEX($E$2:$E$201,MATCH(K183,$A$2:$A$201,0))),K183)&amp;"/","")&amp;IF(J183&lt;&gt;"",IFERROR(IF(INDEX($E$2:$E$201,MATCH(J183,$A$2:$A$201,0))="",J183,INDEX($E$2:$E$201,MATCH(J183,$A$2:$A$201,0))),J183)&amp;"/","")&amp;IF(I183&lt;&gt;"",IFERROR(IF(INDEX($E$2:$E$201,MATCH(I183,$A$2:$A$201,0))="",I183,INDEX($E$2:$E$201,MATCH(I183,$A$2:$A$201,0))),I183)&amp;"/","")&amp;IF(H183&lt;&gt;"",IFERROR(IF(INDEX($E$2:$E$201,MATCH(H183,$A$2:$A$201,0))="",H183,INDEX($E$2:$E$201,MATCH(H183,$A$2:$A$201,0))),H183)&amp;"/","")&amp;IF(E183="",A183,E183))</f>
        <v/>
      </c>
      <c r="G183" s="10" t="str">
        <f aca="false">IF(A183="","",IF(SUMPRODUCT(--EXACT($A$2:$A$201,A183))&gt;1,"Duplicate ID",IF(SUMPRODUCT(--EXACT('1 Types'!$A$2:$A$201,C183))=0,"Type is not on the Types sheet",IF(AND(D183&lt;&gt;"",NOT(SUMPRODUCT(--EXACT($A$2:$A$201,D183))&gt;0)),"Parent is not an asset",IF(AND(D183="",IFERROR(INDEX('1 Types'!$E$2:$E$201,MATCH(C183,'1 Types'!$A$2:$A$201,0)),"")&lt;&gt;"yes"),"Needs a parent",IF(OR(L183&lt;&gt;"",H183=A183,I183=A183,J183=A183,K183=A183),"Parent loop, or more than five levels","ok"))))))</f>
        <v/>
      </c>
      <c r="H183" s="10" t="str">
        <f aca="false">IF(A183="","",D183)</f>
        <v/>
      </c>
      <c r="I183" s="10" t="str">
        <f aca="false">IF(H183="","",IFERROR(INDEX($D$2:$D$201,MATCH(H183,$A$2:$A$201,0)),""))</f>
        <v/>
      </c>
      <c r="J183" s="10" t="str">
        <f aca="false">IF(I183="","",IFERROR(INDEX($D$2:$D$201,MATCH(I183,$A$2:$A$201,0)),""))</f>
        <v/>
      </c>
      <c r="K183" s="10" t="str">
        <f aca="false">IF(J183="","",IFERROR(INDEX($D$2:$D$201,MATCH(J183,$A$2:$A$201,0)),""))</f>
        <v/>
      </c>
      <c r="L183" s="10" t="str">
        <f aca="false">IF(K183="","",IFERROR(INDEX($D$2:$D$201,MATCH(K183,$A$2:$A$201,0)),""))</f>
        <v/>
      </c>
      <c r="M183" s="10" t="str">
        <f aca="false">IF(A183="","",IF(K183&lt;&gt;"",K183,IF(J183&lt;&gt;"",J183,IF(I183&lt;&gt;"",I183,IF(H183&lt;&gt;"",H183,A183)))))</f>
        <v/>
      </c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10" t="str">
        <f aca="false">IF(A184="","",IF(K184&lt;&gt;"",IFERROR(IF(INDEX($E$2:$E$201,MATCH(K184,$A$2:$A$201,0))="",K184,INDEX($E$2:$E$201,MATCH(K184,$A$2:$A$201,0))),K184)&amp;"/","")&amp;IF(J184&lt;&gt;"",IFERROR(IF(INDEX($E$2:$E$201,MATCH(J184,$A$2:$A$201,0))="",J184,INDEX($E$2:$E$201,MATCH(J184,$A$2:$A$201,0))),J184)&amp;"/","")&amp;IF(I184&lt;&gt;"",IFERROR(IF(INDEX($E$2:$E$201,MATCH(I184,$A$2:$A$201,0))="",I184,INDEX($E$2:$E$201,MATCH(I184,$A$2:$A$201,0))),I184)&amp;"/","")&amp;IF(H184&lt;&gt;"",IFERROR(IF(INDEX($E$2:$E$201,MATCH(H184,$A$2:$A$201,0))="",H184,INDEX($E$2:$E$201,MATCH(H184,$A$2:$A$201,0))),H184)&amp;"/","")&amp;IF(E184="",A184,E184))</f>
        <v/>
      </c>
      <c r="G184" s="10" t="str">
        <f aca="false">IF(A184="","",IF(SUMPRODUCT(--EXACT($A$2:$A$201,A184))&gt;1,"Duplicate ID",IF(SUMPRODUCT(--EXACT('1 Types'!$A$2:$A$201,C184))=0,"Type is not on the Types sheet",IF(AND(D184&lt;&gt;"",NOT(SUMPRODUCT(--EXACT($A$2:$A$201,D184))&gt;0)),"Parent is not an asset",IF(AND(D184="",IFERROR(INDEX('1 Types'!$E$2:$E$201,MATCH(C184,'1 Types'!$A$2:$A$201,0)),"")&lt;&gt;"yes"),"Needs a parent",IF(OR(L184&lt;&gt;"",H184=A184,I184=A184,J184=A184,K184=A184),"Parent loop, or more than five levels","ok"))))))</f>
        <v/>
      </c>
      <c r="H184" s="10" t="str">
        <f aca="false">IF(A184="","",D184)</f>
        <v/>
      </c>
      <c r="I184" s="10" t="str">
        <f aca="false">IF(H184="","",IFERROR(INDEX($D$2:$D$201,MATCH(H184,$A$2:$A$201,0)),""))</f>
        <v/>
      </c>
      <c r="J184" s="10" t="str">
        <f aca="false">IF(I184="","",IFERROR(INDEX($D$2:$D$201,MATCH(I184,$A$2:$A$201,0)),""))</f>
        <v/>
      </c>
      <c r="K184" s="10" t="str">
        <f aca="false">IF(J184="","",IFERROR(INDEX($D$2:$D$201,MATCH(J184,$A$2:$A$201,0)),""))</f>
        <v/>
      </c>
      <c r="L184" s="10" t="str">
        <f aca="false">IF(K184="","",IFERROR(INDEX($D$2:$D$201,MATCH(K184,$A$2:$A$201,0)),""))</f>
        <v/>
      </c>
      <c r="M184" s="10" t="str">
        <f aca="false">IF(A184="","",IF(K184&lt;&gt;"",K184,IF(J184&lt;&gt;"",J184,IF(I184&lt;&gt;"",I184,IF(H184&lt;&gt;"",H184,A184)))))</f>
        <v/>
      </c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10" t="str">
        <f aca="false">IF(A185="","",IF(K185&lt;&gt;"",IFERROR(IF(INDEX($E$2:$E$201,MATCH(K185,$A$2:$A$201,0))="",K185,INDEX($E$2:$E$201,MATCH(K185,$A$2:$A$201,0))),K185)&amp;"/","")&amp;IF(J185&lt;&gt;"",IFERROR(IF(INDEX($E$2:$E$201,MATCH(J185,$A$2:$A$201,0))="",J185,INDEX($E$2:$E$201,MATCH(J185,$A$2:$A$201,0))),J185)&amp;"/","")&amp;IF(I185&lt;&gt;"",IFERROR(IF(INDEX($E$2:$E$201,MATCH(I185,$A$2:$A$201,0))="",I185,INDEX($E$2:$E$201,MATCH(I185,$A$2:$A$201,0))),I185)&amp;"/","")&amp;IF(H185&lt;&gt;"",IFERROR(IF(INDEX($E$2:$E$201,MATCH(H185,$A$2:$A$201,0))="",H185,INDEX($E$2:$E$201,MATCH(H185,$A$2:$A$201,0))),H185)&amp;"/","")&amp;IF(E185="",A185,E185))</f>
        <v/>
      </c>
      <c r="G185" s="10" t="str">
        <f aca="false">IF(A185="","",IF(SUMPRODUCT(--EXACT($A$2:$A$201,A185))&gt;1,"Duplicate ID",IF(SUMPRODUCT(--EXACT('1 Types'!$A$2:$A$201,C185))=0,"Type is not on the Types sheet",IF(AND(D185&lt;&gt;"",NOT(SUMPRODUCT(--EXACT($A$2:$A$201,D185))&gt;0)),"Parent is not an asset",IF(AND(D185="",IFERROR(INDEX('1 Types'!$E$2:$E$201,MATCH(C185,'1 Types'!$A$2:$A$201,0)),"")&lt;&gt;"yes"),"Needs a parent",IF(OR(L185&lt;&gt;"",H185=A185,I185=A185,J185=A185,K185=A185),"Parent loop, or more than five levels","ok"))))))</f>
        <v/>
      </c>
      <c r="H185" s="10" t="str">
        <f aca="false">IF(A185="","",D185)</f>
        <v/>
      </c>
      <c r="I185" s="10" t="str">
        <f aca="false">IF(H185="","",IFERROR(INDEX($D$2:$D$201,MATCH(H185,$A$2:$A$201,0)),""))</f>
        <v/>
      </c>
      <c r="J185" s="10" t="str">
        <f aca="false">IF(I185="","",IFERROR(INDEX($D$2:$D$201,MATCH(I185,$A$2:$A$201,0)),""))</f>
        <v/>
      </c>
      <c r="K185" s="10" t="str">
        <f aca="false">IF(J185="","",IFERROR(INDEX($D$2:$D$201,MATCH(J185,$A$2:$A$201,0)),""))</f>
        <v/>
      </c>
      <c r="L185" s="10" t="str">
        <f aca="false">IF(K185="","",IFERROR(INDEX($D$2:$D$201,MATCH(K185,$A$2:$A$201,0)),""))</f>
        <v/>
      </c>
      <c r="M185" s="10" t="str">
        <f aca="false">IF(A185="","",IF(K185&lt;&gt;"",K185,IF(J185&lt;&gt;"",J185,IF(I185&lt;&gt;"",I185,IF(H185&lt;&gt;"",H185,A185)))))</f>
        <v/>
      </c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10" t="str">
        <f aca="false">IF(A186="","",IF(K186&lt;&gt;"",IFERROR(IF(INDEX($E$2:$E$201,MATCH(K186,$A$2:$A$201,0))="",K186,INDEX($E$2:$E$201,MATCH(K186,$A$2:$A$201,0))),K186)&amp;"/","")&amp;IF(J186&lt;&gt;"",IFERROR(IF(INDEX($E$2:$E$201,MATCH(J186,$A$2:$A$201,0))="",J186,INDEX($E$2:$E$201,MATCH(J186,$A$2:$A$201,0))),J186)&amp;"/","")&amp;IF(I186&lt;&gt;"",IFERROR(IF(INDEX($E$2:$E$201,MATCH(I186,$A$2:$A$201,0))="",I186,INDEX($E$2:$E$201,MATCH(I186,$A$2:$A$201,0))),I186)&amp;"/","")&amp;IF(H186&lt;&gt;"",IFERROR(IF(INDEX($E$2:$E$201,MATCH(H186,$A$2:$A$201,0))="",H186,INDEX($E$2:$E$201,MATCH(H186,$A$2:$A$201,0))),H186)&amp;"/","")&amp;IF(E186="",A186,E186))</f>
        <v/>
      </c>
      <c r="G186" s="10" t="str">
        <f aca="false">IF(A186="","",IF(SUMPRODUCT(--EXACT($A$2:$A$201,A186))&gt;1,"Duplicate ID",IF(SUMPRODUCT(--EXACT('1 Types'!$A$2:$A$201,C186))=0,"Type is not on the Types sheet",IF(AND(D186&lt;&gt;"",NOT(SUMPRODUCT(--EXACT($A$2:$A$201,D186))&gt;0)),"Parent is not an asset",IF(AND(D186="",IFERROR(INDEX('1 Types'!$E$2:$E$201,MATCH(C186,'1 Types'!$A$2:$A$201,0)),"")&lt;&gt;"yes"),"Needs a parent",IF(OR(L186&lt;&gt;"",H186=A186,I186=A186,J186=A186,K186=A186),"Parent loop, or more than five levels","ok"))))))</f>
        <v/>
      </c>
      <c r="H186" s="10" t="str">
        <f aca="false">IF(A186="","",D186)</f>
        <v/>
      </c>
      <c r="I186" s="10" t="str">
        <f aca="false">IF(H186="","",IFERROR(INDEX($D$2:$D$201,MATCH(H186,$A$2:$A$201,0)),""))</f>
        <v/>
      </c>
      <c r="J186" s="10" t="str">
        <f aca="false">IF(I186="","",IFERROR(INDEX($D$2:$D$201,MATCH(I186,$A$2:$A$201,0)),""))</f>
        <v/>
      </c>
      <c r="K186" s="10" t="str">
        <f aca="false">IF(J186="","",IFERROR(INDEX($D$2:$D$201,MATCH(J186,$A$2:$A$201,0)),""))</f>
        <v/>
      </c>
      <c r="L186" s="10" t="str">
        <f aca="false">IF(K186="","",IFERROR(INDEX($D$2:$D$201,MATCH(K186,$A$2:$A$201,0)),""))</f>
        <v/>
      </c>
      <c r="M186" s="10" t="str">
        <f aca="false">IF(A186="","",IF(K186&lt;&gt;"",K186,IF(J186&lt;&gt;"",J186,IF(I186&lt;&gt;"",I186,IF(H186&lt;&gt;"",H186,A186)))))</f>
        <v/>
      </c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10" t="str">
        <f aca="false">IF(A187="","",IF(K187&lt;&gt;"",IFERROR(IF(INDEX($E$2:$E$201,MATCH(K187,$A$2:$A$201,0))="",K187,INDEX($E$2:$E$201,MATCH(K187,$A$2:$A$201,0))),K187)&amp;"/","")&amp;IF(J187&lt;&gt;"",IFERROR(IF(INDEX($E$2:$E$201,MATCH(J187,$A$2:$A$201,0))="",J187,INDEX($E$2:$E$201,MATCH(J187,$A$2:$A$201,0))),J187)&amp;"/","")&amp;IF(I187&lt;&gt;"",IFERROR(IF(INDEX($E$2:$E$201,MATCH(I187,$A$2:$A$201,0))="",I187,INDEX($E$2:$E$201,MATCH(I187,$A$2:$A$201,0))),I187)&amp;"/","")&amp;IF(H187&lt;&gt;"",IFERROR(IF(INDEX($E$2:$E$201,MATCH(H187,$A$2:$A$201,0))="",H187,INDEX($E$2:$E$201,MATCH(H187,$A$2:$A$201,0))),H187)&amp;"/","")&amp;IF(E187="",A187,E187))</f>
        <v/>
      </c>
      <c r="G187" s="10" t="str">
        <f aca="false">IF(A187="","",IF(SUMPRODUCT(--EXACT($A$2:$A$201,A187))&gt;1,"Duplicate ID",IF(SUMPRODUCT(--EXACT('1 Types'!$A$2:$A$201,C187))=0,"Type is not on the Types sheet",IF(AND(D187&lt;&gt;"",NOT(SUMPRODUCT(--EXACT($A$2:$A$201,D187))&gt;0)),"Parent is not an asset",IF(AND(D187="",IFERROR(INDEX('1 Types'!$E$2:$E$201,MATCH(C187,'1 Types'!$A$2:$A$201,0)),"")&lt;&gt;"yes"),"Needs a parent",IF(OR(L187&lt;&gt;"",H187=A187,I187=A187,J187=A187,K187=A187),"Parent loop, or more than five levels","ok"))))))</f>
        <v/>
      </c>
      <c r="H187" s="10" t="str">
        <f aca="false">IF(A187="","",D187)</f>
        <v/>
      </c>
      <c r="I187" s="10" t="str">
        <f aca="false">IF(H187="","",IFERROR(INDEX($D$2:$D$201,MATCH(H187,$A$2:$A$201,0)),""))</f>
        <v/>
      </c>
      <c r="J187" s="10" t="str">
        <f aca="false">IF(I187="","",IFERROR(INDEX($D$2:$D$201,MATCH(I187,$A$2:$A$201,0)),""))</f>
        <v/>
      </c>
      <c r="K187" s="10" t="str">
        <f aca="false">IF(J187="","",IFERROR(INDEX($D$2:$D$201,MATCH(J187,$A$2:$A$201,0)),""))</f>
        <v/>
      </c>
      <c r="L187" s="10" t="str">
        <f aca="false">IF(K187="","",IFERROR(INDEX($D$2:$D$201,MATCH(K187,$A$2:$A$201,0)),""))</f>
        <v/>
      </c>
      <c r="M187" s="10" t="str">
        <f aca="false">IF(A187="","",IF(K187&lt;&gt;"",K187,IF(J187&lt;&gt;"",J187,IF(I187&lt;&gt;"",I187,IF(H187&lt;&gt;"",H187,A187)))))</f>
        <v/>
      </c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10" t="str">
        <f aca="false">IF(A188="","",IF(K188&lt;&gt;"",IFERROR(IF(INDEX($E$2:$E$201,MATCH(K188,$A$2:$A$201,0))="",K188,INDEX($E$2:$E$201,MATCH(K188,$A$2:$A$201,0))),K188)&amp;"/","")&amp;IF(J188&lt;&gt;"",IFERROR(IF(INDEX($E$2:$E$201,MATCH(J188,$A$2:$A$201,0))="",J188,INDEX($E$2:$E$201,MATCH(J188,$A$2:$A$201,0))),J188)&amp;"/","")&amp;IF(I188&lt;&gt;"",IFERROR(IF(INDEX($E$2:$E$201,MATCH(I188,$A$2:$A$201,0))="",I188,INDEX($E$2:$E$201,MATCH(I188,$A$2:$A$201,0))),I188)&amp;"/","")&amp;IF(H188&lt;&gt;"",IFERROR(IF(INDEX($E$2:$E$201,MATCH(H188,$A$2:$A$201,0))="",H188,INDEX($E$2:$E$201,MATCH(H188,$A$2:$A$201,0))),H188)&amp;"/","")&amp;IF(E188="",A188,E188))</f>
        <v/>
      </c>
      <c r="G188" s="10" t="str">
        <f aca="false">IF(A188="","",IF(SUMPRODUCT(--EXACT($A$2:$A$201,A188))&gt;1,"Duplicate ID",IF(SUMPRODUCT(--EXACT('1 Types'!$A$2:$A$201,C188))=0,"Type is not on the Types sheet",IF(AND(D188&lt;&gt;"",NOT(SUMPRODUCT(--EXACT($A$2:$A$201,D188))&gt;0)),"Parent is not an asset",IF(AND(D188="",IFERROR(INDEX('1 Types'!$E$2:$E$201,MATCH(C188,'1 Types'!$A$2:$A$201,0)),"")&lt;&gt;"yes"),"Needs a parent",IF(OR(L188&lt;&gt;"",H188=A188,I188=A188,J188=A188,K188=A188),"Parent loop, or more than five levels","ok"))))))</f>
        <v/>
      </c>
      <c r="H188" s="10" t="str">
        <f aca="false">IF(A188="","",D188)</f>
        <v/>
      </c>
      <c r="I188" s="10" t="str">
        <f aca="false">IF(H188="","",IFERROR(INDEX($D$2:$D$201,MATCH(H188,$A$2:$A$201,0)),""))</f>
        <v/>
      </c>
      <c r="J188" s="10" t="str">
        <f aca="false">IF(I188="","",IFERROR(INDEX($D$2:$D$201,MATCH(I188,$A$2:$A$201,0)),""))</f>
        <v/>
      </c>
      <c r="K188" s="10" t="str">
        <f aca="false">IF(J188="","",IFERROR(INDEX($D$2:$D$201,MATCH(J188,$A$2:$A$201,0)),""))</f>
        <v/>
      </c>
      <c r="L188" s="10" t="str">
        <f aca="false">IF(K188="","",IFERROR(INDEX($D$2:$D$201,MATCH(K188,$A$2:$A$201,0)),""))</f>
        <v/>
      </c>
      <c r="M188" s="10" t="str">
        <f aca="false">IF(A188="","",IF(K188&lt;&gt;"",K188,IF(J188&lt;&gt;"",J188,IF(I188&lt;&gt;"",I188,IF(H188&lt;&gt;"",H188,A188)))))</f>
        <v/>
      </c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10" t="str">
        <f aca="false">IF(A189="","",IF(K189&lt;&gt;"",IFERROR(IF(INDEX($E$2:$E$201,MATCH(K189,$A$2:$A$201,0))="",K189,INDEX($E$2:$E$201,MATCH(K189,$A$2:$A$201,0))),K189)&amp;"/","")&amp;IF(J189&lt;&gt;"",IFERROR(IF(INDEX($E$2:$E$201,MATCH(J189,$A$2:$A$201,0))="",J189,INDEX($E$2:$E$201,MATCH(J189,$A$2:$A$201,0))),J189)&amp;"/","")&amp;IF(I189&lt;&gt;"",IFERROR(IF(INDEX($E$2:$E$201,MATCH(I189,$A$2:$A$201,0))="",I189,INDEX($E$2:$E$201,MATCH(I189,$A$2:$A$201,0))),I189)&amp;"/","")&amp;IF(H189&lt;&gt;"",IFERROR(IF(INDEX($E$2:$E$201,MATCH(H189,$A$2:$A$201,0))="",H189,INDEX($E$2:$E$201,MATCH(H189,$A$2:$A$201,0))),H189)&amp;"/","")&amp;IF(E189="",A189,E189))</f>
        <v/>
      </c>
      <c r="G189" s="10" t="str">
        <f aca="false">IF(A189="","",IF(SUMPRODUCT(--EXACT($A$2:$A$201,A189))&gt;1,"Duplicate ID",IF(SUMPRODUCT(--EXACT('1 Types'!$A$2:$A$201,C189))=0,"Type is not on the Types sheet",IF(AND(D189&lt;&gt;"",NOT(SUMPRODUCT(--EXACT($A$2:$A$201,D189))&gt;0)),"Parent is not an asset",IF(AND(D189="",IFERROR(INDEX('1 Types'!$E$2:$E$201,MATCH(C189,'1 Types'!$A$2:$A$201,0)),"")&lt;&gt;"yes"),"Needs a parent",IF(OR(L189&lt;&gt;"",H189=A189,I189=A189,J189=A189,K189=A189),"Parent loop, or more than five levels","ok"))))))</f>
        <v/>
      </c>
      <c r="H189" s="10" t="str">
        <f aca="false">IF(A189="","",D189)</f>
        <v/>
      </c>
      <c r="I189" s="10" t="str">
        <f aca="false">IF(H189="","",IFERROR(INDEX($D$2:$D$201,MATCH(H189,$A$2:$A$201,0)),""))</f>
        <v/>
      </c>
      <c r="J189" s="10" t="str">
        <f aca="false">IF(I189="","",IFERROR(INDEX($D$2:$D$201,MATCH(I189,$A$2:$A$201,0)),""))</f>
        <v/>
      </c>
      <c r="K189" s="10" t="str">
        <f aca="false">IF(J189="","",IFERROR(INDEX($D$2:$D$201,MATCH(J189,$A$2:$A$201,0)),""))</f>
        <v/>
      </c>
      <c r="L189" s="10" t="str">
        <f aca="false">IF(K189="","",IFERROR(INDEX($D$2:$D$201,MATCH(K189,$A$2:$A$201,0)),""))</f>
        <v/>
      </c>
      <c r="M189" s="10" t="str">
        <f aca="false">IF(A189="","",IF(K189&lt;&gt;"",K189,IF(J189&lt;&gt;"",J189,IF(I189&lt;&gt;"",I189,IF(H189&lt;&gt;"",H189,A189)))))</f>
        <v/>
      </c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10" t="str">
        <f aca="false">IF(A190="","",IF(K190&lt;&gt;"",IFERROR(IF(INDEX($E$2:$E$201,MATCH(K190,$A$2:$A$201,0))="",K190,INDEX($E$2:$E$201,MATCH(K190,$A$2:$A$201,0))),K190)&amp;"/","")&amp;IF(J190&lt;&gt;"",IFERROR(IF(INDEX($E$2:$E$201,MATCH(J190,$A$2:$A$201,0))="",J190,INDEX($E$2:$E$201,MATCH(J190,$A$2:$A$201,0))),J190)&amp;"/","")&amp;IF(I190&lt;&gt;"",IFERROR(IF(INDEX($E$2:$E$201,MATCH(I190,$A$2:$A$201,0))="",I190,INDEX($E$2:$E$201,MATCH(I190,$A$2:$A$201,0))),I190)&amp;"/","")&amp;IF(H190&lt;&gt;"",IFERROR(IF(INDEX($E$2:$E$201,MATCH(H190,$A$2:$A$201,0))="",H190,INDEX($E$2:$E$201,MATCH(H190,$A$2:$A$201,0))),H190)&amp;"/","")&amp;IF(E190="",A190,E190))</f>
        <v/>
      </c>
      <c r="G190" s="10" t="str">
        <f aca="false">IF(A190="","",IF(SUMPRODUCT(--EXACT($A$2:$A$201,A190))&gt;1,"Duplicate ID",IF(SUMPRODUCT(--EXACT('1 Types'!$A$2:$A$201,C190))=0,"Type is not on the Types sheet",IF(AND(D190&lt;&gt;"",NOT(SUMPRODUCT(--EXACT($A$2:$A$201,D190))&gt;0)),"Parent is not an asset",IF(AND(D190="",IFERROR(INDEX('1 Types'!$E$2:$E$201,MATCH(C190,'1 Types'!$A$2:$A$201,0)),"")&lt;&gt;"yes"),"Needs a parent",IF(OR(L190&lt;&gt;"",H190=A190,I190=A190,J190=A190,K190=A190),"Parent loop, or more than five levels","ok"))))))</f>
        <v/>
      </c>
      <c r="H190" s="10" t="str">
        <f aca="false">IF(A190="","",D190)</f>
        <v/>
      </c>
      <c r="I190" s="10" t="str">
        <f aca="false">IF(H190="","",IFERROR(INDEX($D$2:$D$201,MATCH(H190,$A$2:$A$201,0)),""))</f>
        <v/>
      </c>
      <c r="J190" s="10" t="str">
        <f aca="false">IF(I190="","",IFERROR(INDEX($D$2:$D$201,MATCH(I190,$A$2:$A$201,0)),""))</f>
        <v/>
      </c>
      <c r="K190" s="10" t="str">
        <f aca="false">IF(J190="","",IFERROR(INDEX($D$2:$D$201,MATCH(J190,$A$2:$A$201,0)),""))</f>
        <v/>
      </c>
      <c r="L190" s="10" t="str">
        <f aca="false">IF(K190="","",IFERROR(INDEX($D$2:$D$201,MATCH(K190,$A$2:$A$201,0)),""))</f>
        <v/>
      </c>
      <c r="M190" s="10" t="str">
        <f aca="false">IF(A190="","",IF(K190&lt;&gt;"",K190,IF(J190&lt;&gt;"",J190,IF(I190&lt;&gt;"",I190,IF(H190&lt;&gt;"",H190,A190)))))</f>
        <v/>
      </c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10" t="str">
        <f aca="false">IF(A191="","",IF(K191&lt;&gt;"",IFERROR(IF(INDEX($E$2:$E$201,MATCH(K191,$A$2:$A$201,0))="",K191,INDEX($E$2:$E$201,MATCH(K191,$A$2:$A$201,0))),K191)&amp;"/","")&amp;IF(J191&lt;&gt;"",IFERROR(IF(INDEX($E$2:$E$201,MATCH(J191,$A$2:$A$201,0))="",J191,INDEX($E$2:$E$201,MATCH(J191,$A$2:$A$201,0))),J191)&amp;"/","")&amp;IF(I191&lt;&gt;"",IFERROR(IF(INDEX($E$2:$E$201,MATCH(I191,$A$2:$A$201,0))="",I191,INDEX($E$2:$E$201,MATCH(I191,$A$2:$A$201,0))),I191)&amp;"/","")&amp;IF(H191&lt;&gt;"",IFERROR(IF(INDEX($E$2:$E$201,MATCH(H191,$A$2:$A$201,0))="",H191,INDEX($E$2:$E$201,MATCH(H191,$A$2:$A$201,0))),H191)&amp;"/","")&amp;IF(E191="",A191,E191))</f>
        <v/>
      </c>
      <c r="G191" s="10" t="str">
        <f aca="false">IF(A191="","",IF(SUMPRODUCT(--EXACT($A$2:$A$201,A191))&gt;1,"Duplicate ID",IF(SUMPRODUCT(--EXACT('1 Types'!$A$2:$A$201,C191))=0,"Type is not on the Types sheet",IF(AND(D191&lt;&gt;"",NOT(SUMPRODUCT(--EXACT($A$2:$A$201,D191))&gt;0)),"Parent is not an asset",IF(AND(D191="",IFERROR(INDEX('1 Types'!$E$2:$E$201,MATCH(C191,'1 Types'!$A$2:$A$201,0)),"")&lt;&gt;"yes"),"Needs a parent",IF(OR(L191&lt;&gt;"",H191=A191,I191=A191,J191=A191,K191=A191),"Parent loop, or more than five levels","ok"))))))</f>
        <v/>
      </c>
      <c r="H191" s="10" t="str">
        <f aca="false">IF(A191="","",D191)</f>
        <v/>
      </c>
      <c r="I191" s="10" t="str">
        <f aca="false">IF(H191="","",IFERROR(INDEX($D$2:$D$201,MATCH(H191,$A$2:$A$201,0)),""))</f>
        <v/>
      </c>
      <c r="J191" s="10" t="str">
        <f aca="false">IF(I191="","",IFERROR(INDEX($D$2:$D$201,MATCH(I191,$A$2:$A$201,0)),""))</f>
        <v/>
      </c>
      <c r="K191" s="10" t="str">
        <f aca="false">IF(J191="","",IFERROR(INDEX($D$2:$D$201,MATCH(J191,$A$2:$A$201,0)),""))</f>
        <v/>
      </c>
      <c r="L191" s="10" t="str">
        <f aca="false">IF(K191="","",IFERROR(INDEX($D$2:$D$201,MATCH(K191,$A$2:$A$201,0)),""))</f>
        <v/>
      </c>
      <c r="M191" s="10" t="str">
        <f aca="false">IF(A191="","",IF(K191&lt;&gt;"",K191,IF(J191&lt;&gt;"",J191,IF(I191&lt;&gt;"",I191,IF(H191&lt;&gt;"",H191,A191)))))</f>
        <v/>
      </c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10" t="str">
        <f aca="false">IF(A192="","",IF(K192&lt;&gt;"",IFERROR(IF(INDEX($E$2:$E$201,MATCH(K192,$A$2:$A$201,0))="",K192,INDEX($E$2:$E$201,MATCH(K192,$A$2:$A$201,0))),K192)&amp;"/","")&amp;IF(J192&lt;&gt;"",IFERROR(IF(INDEX($E$2:$E$201,MATCH(J192,$A$2:$A$201,0))="",J192,INDEX($E$2:$E$201,MATCH(J192,$A$2:$A$201,0))),J192)&amp;"/","")&amp;IF(I192&lt;&gt;"",IFERROR(IF(INDEX($E$2:$E$201,MATCH(I192,$A$2:$A$201,0))="",I192,INDEX($E$2:$E$201,MATCH(I192,$A$2:$A$201,0))),I192)&amp;"/","")&amp;IF(H192&lt;&gt;"",IFERROR(IF(INDEX($E$2:$E$201,MATCH(H192,$A$2:$A$201,0))="",H192,INDEX($E$2:$E$201,MATCH(H192,$A$2:$A$201,0))),H192)&amp;"/","")&amp;IF(E192="",A192,E192))</f>
        <v/>
      </c>
      <c r="G192" s="10" t="str">
        <f aca="false">IF(A192="","",IF(SUMPRODUCT(--EXACT($A$2:$A$201,A192))&gt;1,"Duplicate ID",IF(SUMPRODUCT(--EXACT('1 Types'!$A$2:$A$201,C192))=0,"Type is not on the Types sheet",IF(AND(D192&lt;&gt;"",NOT(SUMPRODUCT(--EXACT($A$2:$A$201,D192))&gt;0)),"Parent is not an asset",IF(AND(D192="",IFERROR(INDEX('1 Types'!$E$2:$E$201,MATCH(C192,'1 Types'!$A$2:$A$201,0)),"")&lt;&gt;"yes"),"Needs a parent",IF(OR(L192&lt;&gt;"",H192=A192,I192=A192,J192=A192,K192=A192),"Parent loop, or more than five levels","ok"))))))</f>
        <v/>
      </c>
      <c r="H192" s="10" t="str">
        <f aca="false">IF(A192="","",D192)</f>
        <v/>
      </c>
      <c r="I192" s="10" t="str">
        <f aca="false">IF(H192="","",IFERROR(INDEX($D$2:$D$201,MATCH(H192,$A$2:$A$201,0)),""))</f>
        <v/>
      </c>
      <c r="J192" s="10" t="str">
        <f aca="false">IF(I192="","",IFERROR(INDEX($D$2:$D$201,MATCH(I192,$A$2:$A$201,0)),""))</f>
        <v/>
      </c>
      <c r="K192" s="10" t="str">
        <f aca="false">IF(J192="","",IFERROR(INDEX($D$2:$D$201,MATCH(J192,$A$2:$A$201,0)),""))</f>
        <v/>
      </c>
      <c r="L192" s="10" t="str">
        <f aca="false">IF(K192="","",IFERROR(INDEX($D$2:$D$201,MATCH(K192,$A$2:$A$201,0)),""))</f>
        <v/>
      </c>
      <c r="M192" s="10" t="str">
        <f aca="false">IF(A192="","",IF(K192&lt;&gt;"",K192,IF(J192&lt;&gt;"",J192,IF(I192&lt;&gt;"",I192,IF(H192&lt;&gt;"",H192,A192)))))</f>
        <v/>
      </c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10" t="str">
        <f aca="false">IF(A193="","",IF(K193&lt;&gt;"",IFERROR(IF(INDEX($E$2:$E$201,MATCH(K193,$A$2:$A$201,0))="",K193,INDEX($E$2:$E$201,MATCH(K193,$A$2:$A$201,0))),K193)&amp;"/","")&amp;IF(J193&lt;&gt;"",IFERROR(IF(INDEX($E$2:$E$201,MATCH(J193,$A$2:$A$201,0))="",J193,INDEX($E$2:$E$201,MATCH(J193,$A$2:$A$201,0))),J193)&amp;"/","")&amp;IF(I193&lt;&gt;"",IFERROR(IF(INDEX($E$2:$E$201,MATCH(I193,$A$2:$A$201,0))="",I193,INDEX($E$2:$E$201,MATCH(I193,$A$2:$A$201,0))),I193)&amp;"/","")&amp;IF(H193&lt;&gt;"",IFERROR(IF(INDEX($E$2:$E$201,MATCH(H193,$A$2:$A$201,0))="",H193,INDEX($E$2:$E$201,MATCH(H193,$A$2:$A$201,0))),H193)&amp;"/","")&amp;IF(E193="",A193,E193))</f>
        <v/>
      </c>
      <c r="G193" s="10" t="str">
        <f aca="false">IF(A193="","",IF(SUMPRODUCT(--EXACT($A$2:$A$201,A193))&gt;1,"Duplicate ID",IF(SUMPRODUCT(--EXACT('1 Types'!$A$2:$A$201,C193))=0,"Type is not on the Types sheet",IF(AND(D193&lt;&gt;"",NOT(SUMPRODUCT(--EXACT($A$2:$A$201,D193))&gt;0)),"Parent is not an asset",IF(AND(D193="",IFERROR(INDEX('1 Types'!$E$2:$E$201,MATCH(C193,'1 Types'!$A$2:$A$201,0)),"")&lt;&gt;"yes"),"Needs a parent",IF(OR(L193&lt;&gt;"",H193=A193,I193=A193,J193=A193,K193=A193),"Parent loop, or more than five levels","ok"))))))</f>
        <v/>
      </c>
      <c r="H193" s="10" t="str">
        <f aca="false">IF(A193="","",D193)</f>
        <v/>
      </c>
      <c r="I193" s="10" t="str">
        <f aca="false">IF(H193="","",IFERROR(INDEX($D$2:$D$201,MATCH(H193,$A$2:$A$201,0)),""))</f>
        <v/>
      </c>
      <c r="J193" s="10" t="str">
        <f aca="false">IF(I193="","",IFERROR(INDEX($D$2:$D$201,MATCH(I193,$A$2:$A$201,0)),""))</f>
        <v/>
      </c>
      <c r="K193" s="10" t="str">
        <f aca="false">IF(J193="","",IFERROR(INDEX($D$2:$D$201,MATCH(J193,$A$2:$A$201,0)),""))</f>
        <v/>
      </c>
      <c r="L193" s="10" t="str">
        <f aca="false">IF(K193="","",IFERROR(INDEX($D$2:$D$201,MATCH(K193,$A$2:$A$201,0)),""))</f>
        <v/>
      </c>
      <c r="M193" s="10" t="str">
        <f aca="false">IF(A193="","",IF(K193&lt;&gt;"",K193,IF(J193&lt;&gt;"",J193,IF(I193&lt;&gt;"",I193,IF(H193&lt;&gt;"",H193,A193)))))</f>
        <v/>
      </c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10" t="str">
        <f aca="false">IF(A194="","",IF(K194&lt;&gt;"",IFERROR(IF(INDEX($E$2:$E$201,MATCH(K194,$A$2:$A$201,0))="",K194,INDEX($E$2:$E$201,MATCH(K194,$A$2:$A$201,0))),K194)&amp;"/","")&amp;IF(J194&lt;&gt;"",IFERROR(IF(INDEX($E$2:$E$201,MATCH(J194,$A$2:$A$201,0))="",J194,INDEX($E$2:$E$201,MATCH(J194,$A$2:$A$201,0))),J194)&amp;"/","")&amp;IF(I194&lt;&gt;"",IFERROR(IF(INDEX($E$2:$E$201,MATCH(I194,$A$2:$A$201,0))="",I194,INDEX($E$2:$E$201,MATCH(I194,$A$2:$A$201,0))),I194)&amp;"/","")&amp;IF(H194&lt;&gt;"",IFERROR(IF(INDEX($E$2:$E$201,MATCH(H194,$A$2:$A$201,0))="",H194,INDEX($E$2:$E$201,MATCH(H194,$A$2:$A$201,0))),H194)&amp;"/","")&amp;IF(E194="",A194,E194))</f>
        <v/>
      </c>
      <c r="G194" s="10" t="str">
        <f aca="false">IF(A194="","",IF(SUMPRODUCT(--EXACT($A$2:$A$201,A194))&gt;1,"Duplicate ID",IF(SUMPRODUCT(--EXACT('1 Types'!$A$2:$A$201,C194))=0,"Type is not on the Types sheet",IF(AND(D194&lt;&gt;"",NOT(SUMPRODUCT(--EXACT($A$2:$A$201,D194))&gt;0)),"Parent is not an asset",IF(AND(D194="",IFERROR(INDEX('1 Types'!$E$2:$E$201,MATCH(C194,'1 Types'!$A$2:$A$201,0)),"")&lt;&gt;"yes"),"Needs a parent",IF(OR(L194&lt;&gt;"",H194=A194,I194=A194,J194=A194,K194=A194),"Parent loop, or more than five levels","ok"))))))</f>
        <v/>
      </c>
      <c r="H194" s="10" t="str">
        <f aca="false">IF(A194="","",D194)</f>
        <v/>
      </c>
      <c r="I194" s="10" t="str">
        <f aca="false">IF(H194="","",IFERROR(INDEX($D$2:$D$201,MATCH(H194,$A$2:$A$201,0)),""))</f>
        <v/>
      </c>
      <c r="J194" s="10" t="str">
        <f aca="false">IF(I194="","",IFERROR(INDEX($D$2:$D$201,MATCH(I194,$A$2:$A$201,0)),""))</f>
        <v/>
      </c>
      <c r="K194" s="10" t="str">
        <f aca="false">IF(J194="","",IFERROR(INDEX($D$2:$D$201,MATCH(J194,$A$2:$A$201,0)),""))</f>
        <v/>
      </c>
      <c r="L194" s="10" t="str">
        <f aca="false">IF(K194="","",IFERROR(INDEX($D$2:$D$201,MATCH(K194,$A$2:$A$201,0)),""))</f>
        <v/>
      </c>
      <c r="M194" s="10" t="str">
        <f aca="false">IF(A194="","",IF(K194&lt;&gt;"",K194,IF(J194&lt;&gt;"",J194,IF(I194&lt;&gt;"",I194,IF(H194&lt;&gt;"",H194,A194)))))</f>
        <v/>
      </c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10" t="str">
        <f aca="false">IF(A195="","",IF(K195&lt;&gt;"",IFERROR(IF(INDEX($E$2:$E$201,MATCH(K195,$A$2:$A$201,0))="",K195,INDEX($E$2:$E$201,MATCH(K195,$A$2:$A$201,0))),K195)&amp;"/","")&amp;IF(J195&lt;&gt;"",IFERROR(IF(INDEX($E$2:$E$201,MATCH(J195,$A$2:$A$201,0))="",J195,INDEX($E$2:$E$201,MATCH(J195,$A$2:$A$201,0))),J195)&amp;"/","")&amp;IF(I195&lt;&gt;"",IFERROR(IF(INDEX($E$2:$E$201,MATCH(I195,$A$2:$A$201,0))="",I195,INDEX($E$2:$E$201,MATCH(I195,$A$2:$A$201,0))),I195)&amp;"/","")&amp;IF(H195&lt;&gt;"",IFERROR(IF(INDEX($E$2:$E$201,MATCH(H195,$A$2:$A$201,0))="",H195,INDEX($E$2:$E$201,MATCH(H195,$A$2:$A$201,0))),H195)&amp;"/","")&amp;IF(E195="",A195,E195))</f>
        <v/>
      </c>
      <c r="G195" s="10" t="str">
        <f aca="false">IF(A195="","",IF(SUMPRODUCT(--EXACT($A$2:$A$201,A195))&gt;1,"Duplicate ID",IF(SUMPRODUCT(--EXACT('1 Types'!$A$2:$A$201,C195))=0,"Type is not on the Types sheet",IF(AND(D195&lt;&gt;"",NOT(SUMPRODUCT(--EXACT($A$2:$A$201,D195))&gt;0)),"Parent is not an asset",IF(AND(D195="",IFERROR(INDEX('1 Types'!$E$2:$E$201,MATCH(C195,'1 Types'!$A$2:$A$201,0)),"")&lt;&gt;"yes"),"Needs a parent",IF(OR(L195&lt;&gt;"",H195=A195,I195=A195,J195=A195,K195=A195),"Parent loop, or more than five levels","ok"))))))</f>
        <v/>
      </c>
      <c r="H195" s="10" t="str">
        <f aca="false">IF(A195="","",D195)</f>
        <v/>
      </c>
      <c r="I195" s="10" t="str">
        <f aca="false">IF(H195="","",IFERROR(INDEX($D$2:$D$201,MATCH(H195,$A$2:$A$201,0)),""))</f>
        <v/>
      </c>
      <c r="J195" s="10" t="str">
        <f aca="false">IF(I195="","",IFERROR(INDEX($D$2:$D$201,MATCH(I195,$A$2:$A$201,0)),""))</f>
        <v/>
      </c>
      <c r="K195" s="10" t="str">
        <f aca="false">IF(J195="","",IFERROR(INDEX($D$2:$D$201,MATCH(J195,$A$2:$A$201,0)),""))</f>
        <v/>
      </c>
      <c r="L195" s="10" t="str">
        <f aca="false">IF(K195="","",IFERROR(INDEX($D$2:$D$201,MATCH(K195,$A$2:$A$201,0)),""))</f>
        <v/>
      </c>
      <c r="M195" s="10" t="str">
        <f aca="false">IF(A195="","",IF(K195&lt;&gt;"",K195,IF(J195&lt;&gt;"",J195,IF(I195&lt;&gt;"",I195,IF(H195&lt;&gt;"",H195,A195)))))</f>
        <v/>
      </c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10" t="str">
        <f aca="false">IF(A196="","",IF(K196&lt;&gt;"",IFERROR(IF(INDEX($E$2:$E$201,MATCH(K196,$A$2:$A$201,0))="",K196,INDEX($E$2:$E$201,MATCH(K196,$A$2:$A$201,0))),K196)&amp;"/","")&amp;IF(J196&lt;&gt;"",IFERROR(IF(INDEX($E$2:$E$201,MATCH(J196,$A$2:$A$201,0))="",J196,INDEX($E$2:$E$201,MATCH(J196,$A$2:$A$201,0))),J196)&amp;"/","")&amp;IF(I196&lt;&gt;"",IFERROR(IF(INDEX($E$2:$E$201,MATCH(I196,$A$2:$A$201,0))="",I196,INDEX($E$2:$E$201,MATCH(I196,$A$2:$A$201,0))),I196)&amp;"/","")&amp;IF(H196&lt;&gt;"",IFERROR(IF(INDEX($E$2:$E$201,MATCH(H196,$A$2:$A$201,0))="",H196,INDEX($E$2:$E$201,MATCH(H196,$A$2:$A$201,0))),H196)&amp;"/","")&amp;IF(E196="",A196,E196))</f>
        <v/>
      </c>
      <c r="G196" s="10" t="str">
        <f aca="false">IF(A196="","",IF(SUMPRODUCT(--EXACT($A$2:$A$201,A196))&gt;1,"Duplicate ID",IF(SUMPRODUCT(--EXACT('1 Types'!$A$2:$A$201,C196))=0,"Type is not on the Types sheet",IF(AND(D196&lt;&gt;"",NOT(SUMPRODUCT(--EXACT($A$2:$A$201,D196))&gt;0)),"Parent is not an asset",IF(AND(D196="",IFERROR(INDEX('1 Types'!$E$2:$E$201,MATCH(C196,'1 Types'!$A$2:$A$201,0)),"")&lt;&gt;"yes"),"Needs a parent",IF(OR(L196&lt;&gt;"",H196=A196,I196=A196,J196=A196,K196=A196),"Parent loop, or more than five levels","ok"))))))</f>
        <v/>
      </c>
      <c r="H196" s="10" t="str">
        <f aca="false">IF(A196="","",D196)</f>
        <v/>
      </c>
      <c r="I196" s="10" t="str">
        <f aca="false">IF(H196="","",IFERROR(INDEX($D$2:$D$201,MATCH(H196,$A$2:$A$201,0)),""))</f>
        <v/>
      </c>
      <c r="J196" s="10" t="str">
        <f aca="false">IF(I196="","",IFERROR(INDEX($D$2:$D$201,MATCH(I196,$A$2:$A$201,0)),""))</f>
        <v/>
      </c>
      <c r="K196" s="10" t="str">
        <f aca="false">IF(J196="","",IFERROR(INDEX($D$2:$D$201,MATCH(J196,$A$2:$A$201,0)),""))</f>
        <v/>
      </c>
      <c r="L196" s="10" t="str">
        <f aca="false">IF(K196="","",IFERROR(INDEX($D$2:$D$201,MATCH(K196,$A$2:$A$201,0)),""))</f>
        <v/>
      </c>
      <c r="M196" s="10" t="str">
        <f aca="false">IF(A196="","",IF(K196&lt;&gt;"",K196,IF(J196&lt;&gt;"",J196,IF(I196&lt;&gt;"",I196,IF(H196&lt;&gt;"",H196,A196)))))</f>
        <v/>
      </c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10" t="str">
        <f aca="false">IF(A197="","",IF(K197&lt;&gt;"",IFERROR(IF(INDEX($E$2:$E$201,MATCH(K197,$A$2:$A$201,0))="",K197,INDEX($E$2:$E$201,MATCH(K197,$A$2:$A$201,0))),K197)&amp;"/","")&amp;IF(J197&lt;&gt;"",IFERROR(IF(INDEX($E$2:$E$201,MATCH(J197,$A$2:$A$201,0))="",J197,INDEX($E$2:$E$201,MATCH(J197,$A$2:$A$201,0))),J197)&amp;"/","")&amp;IF(I197&lt;&gt;"",IFERROR(IF(INDEX($E$2:$E$201,MATCH(I197,$A$2:$A$201,0))="",I197,INDEX($E$2:$E$201,MATCH(I197,$A$2:$A$201,0))),I197)&amp;"/","")&amp;IF(H197&lt;&gt;"",IFERROR(IF(INDEX($E$2:$E$201,MATCH(H197,$A$2:$A$201,0))="",H197,INDEX($E$2:$E$201,MATCH(H197,$A$2:$A$201,0))),H197)&amp;"/","")&amp;IF(E197="",A197,E197))</f>
        <v/>
      </c>
      <c r="G197" s="10" t="str">
        <f aca="false">IF(A197="","",IF(SUMPRODUCT(--EXACT($A$2:$A$201,A197))&gt;1,"Duplicate ID",IF(SUMPRODUCT(--EXACT('1 Types'!$A$2:$A$201,C197))=0,"Type is not on the Types sheet",IF(AND(D197&lt;&gt;"",NOT(SUMPRODUCT(--EXACT($A$2:$A$201,D197))&gt;0)),"Parent is not an asset",IF(AND(D197="",IFERROR(INDEX('1 Types'!$E$2:$E$201,MATCH(C197,'1 Types'!$A$2:$A$201,0)),"")&lt;&gt;"yes"),"Needs a parent",IF(OR(L197&lt;&gt;"",H197=A197,I197=A197,J197=A197,K197=A197),"Parent loop, or more than five levels","ok"))))))</f>
        <v/>
      </c>
      <c r="H197" s="10" t="str">
        <f aca="false">IF(A197="","",D197)</f>
        <v/>
      </c>
      <c r="I197" s="10" t="str">
        <f aca="false">IF(H197="","",IFERROR(INDEX($D$2:$D$201,MATCH(H197,$A$2:$A$201,0)),""))</f>
        <v/>
      </c>
      <c r="J197" s="10" t="str">
        <f aca="false">IF(I197="","",IFERROR(INDEX($D$2:$D$201,MATCH(I197,$A$2:$A$201,0)),""))</f>
        <v/>
      </c>
      <c r="K197" s="10" t="str">
        <f aca="false">IF(J197="","",IFERROR(INDEX($D$2:$D$201,MATCH(J197,$A$2:$A$201,0)),""))</f>
        <v/>
      </c>
      <c r="L197" s="10" t="str">
        <f aca="false">IF(K197="","",IFERROR(INDEX($D$2:$D$201,MATCH(K197,$A$2:$A$201,0)),""))</f>
        <v/>
      </c>
      <c r="M197" s="10" t="str">
        <f aca="false">IF(A197="","",IF(K197&lt;&gt;"",K197,IF(J197&lt;&gt;"",J197,IF(I197&lt;&gt;"",I197,IF(H197&lt;&gt;"",H197,A197)))))</f>
        <v/>
      </c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10" t="str">
        <f aca="false">IF(A198="","",IF(K198&lt;&gt;"",IFERROR(IF(INDEX($E$2:$E$201,MATCH(K198,$A$2:$A$201,0))="",K198,INDEX($E$2:$E$201,MATCH(K198,$A$2:$A$201,0))),K198)&amp;"/","")&amp;IF(J198&lt;&gt;"",IFERROR(IF(INDEX($E$2:$E$201,MATCH(J198,$A$2:$A$201,0))="",J198,INDEX($E$2:$E$201,MATCH(J198,$A$2:$A$201,0))),J198)&amp;"/","")&amp;IF(I198&lt;&gt;"",IFERROR(IF(INDEX($E$2:$E$201,MATCH(I198,$A$2:$A$201,0))="",I198,INDEX($E$2:$E$201,MATCH(I198,$A$2:$A$201,0))),I198)&amp;"/","")&amp;IF(H198&lt;&gt;"",IFERROR(IF(INDEX($E$2:$E$201,MATCH(H198,$A$2:$A$201,0))="",H198,INDEX($E$2:$E$201,MATCH(H198,$A$2:$A$201,0))),H198)&amp;"/","")&amp;IF(E198="",A198,E198))</f>
        <v/>
      </c>
      <c r="G198" s="10" t="str">
        <f aca="false">IF(A198="","",IF(SUMPRODUCT(--EXACT($A$2:$A$201,A198))&gt;1,"Duplicate ID",IF(SUMPRODUCT(--EXACT('1 Types'!$A$2:$A$201,C198))=0,"Type is not on the Types sheet",IF(AND(D198&lt;&gt;"",NOT(SUMPRODUCT(--EXACT($A$2:$A$201,D198))&gt;0)),"Parent is not an asset",IF(AND(D198="",IFERROR(INDEX('1 Types'!$E$2:$E$201,MATCH(C198,'1 Types'!$A$2:$A$201,0)),"")&lt;&gt;"yes"),"Needs a parent",IF(OR(L198&lt;&gt;"",H198=A198,I198=A198,J198=A198,K198=A198),"Parent loop, or more than five levels","ok"))))))</f>
        <v/>
      </c>
      <c r="H198" s="10" t="str">
        <f aca="false">IF(A198="","",D198)</f>
        <v/>
      </c>
      <c r="I198" s="10" t="str">
        <f aca="false">IF(H198="","",IFERROR(INDEX($D$2:$D$201,MATCH(H198,$A$2:$A$201,0)),""))</f>
        <v/>
      </c>
      <c r="J198" s="10" t="str">
        <f aca="false">IF(I198="","",IFERROR(INDEX($D$2:$D$201,MATCH(I198,$A$2:$A$201,0)),""))</f>
        <v/>
      </c>
      <c r="K198" s="10" t="str">
        <f aca="false">IF(J198="","",IFERROR(INDEX($D$2:$D$201,MATCH(J198,$A$2:$A$201,0)),""))</f>
        <v/>
      </c>
      <c r="L198" s="10" t="str">
        <f aca="false">IF(K198="","",IFERROR(INDEX($D$2:$D$201,MATCH(K198,$A$2:$A$201,0)),""))</f>
        <v/>
      </c>
      <c r="M198" s="10" t="str">
        <f aca="false">IF(A198="","",IF(K198&lt;&gt;"",K198,IF(J198&lt;&gt;"",J198,IF(I198&lt;&gt;"",I198,IF(H198&lt;&gt;"",H198,A198)))))</f>
        <v/>
      </c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10" t="str">
        <f aca="false">IF(A199="","",IF(K199&lt;&gt;"",IFERROR(IF(INDEX($E$2:$E$201,MATCH(K199,$A$2:$A$201,0))="",K199,INDEX($E$2:$E$201,MATCH(K199,$A$2:$A$201,0))),K199)&amp;"/","")&amp;IF(J199&lt;&gt;"",IFERROR(IF(INDEX($E$2:$E$201,MATCH(J199,$A$2:$A$201,0))="",J199,INDEX($E$2:$E$201,MATCH(J199,$A$2:$A$201,0))),J199)&amp;"/","")&amp;IF(I199&lt;&gt;"",IFERROR(IF(INDEX($E$2:$E$201,MATCH(I199,$A$2:$A$201,0))="",I199,INDEX($E$2:$E$201,MATCH(I199,$A$2:$A$201,0))),I199)&amp;"/","")&amp;IF(H199&lt;&gt;"",IFERROR(IF(INDEX($E$2:$E$201,MATCH(H199,$A$2:$A$201,0))="",H199,INDEX($E$2:$E$201,MATCH(H199,$A$2:$A$201,0))),H199)&amp;"/","")&amp;IF(E199="",A199,E199))</f>
        <v/>
      </c>
      <c r="G199" s="10" t="str">
        <f aca="false">IF(A199="","",IF(SUMPRODUCT(--EXACT($A$2:$A$201,A199))&gt;1,"Duplicate ID",IF(SUMPRODUCT(--EXACT('1 Types'!$A$2:$A$201,C199))=0,"Type is not on the Types sheet",IF(AND(D199&lt;&gt;"",NOT(SUMPRODUCT(--EXACT($A$2:$A$201,D199))&gt;0)),"Parent is not an asset",IF(AND(D199="",IFERROR(INDEX('1 Types'!$E$2:$E$201,MATCH(C199,'1 Types'!$A$2:$A$201,0)),"")&lt;&gt;"yes"),"Needs a parent",IF(OR(L199&lt;&gt;"",H199=A199,I199=A199,J199=A199,K199=A199),"Parent loop, or more than five levels","ok"))))))</f>
        <v/>
      </c>
      <c r="H199" s="10" t="str">
        <f aca="false">IF(A199="","",D199)</f>
        <v/>
      </c>
      <c r="I199" s="10" t="str">
        <f aca="false">IF(H199="","",IFERROR(INDEX($D$2:$D$201,MATCH(H199,$A$2:$A$201,0)),""))</f>
        <v/>
      </c>
      <c r="J199" s="10" t="str">
        <f aca="false">IF(I199="","",IFERROR(INDEX($D$2:$D$201,MATCH(I199,$A$2:$A$201,0)),""))</f>
        <v/>
      </c>
      <c r="K199" s="10" t="str">
        <f aca="false">IF(J199="","",IFERROR(INDEX($D$2:$D$201,MATCH(J199,$A$2:$A$201,0)),""))</f>
        <v/>
      </c>
      <c r="L199" s="10" t="str">
        <f aca="false">IF(K199="","",IFERROR(INDEX($D$2:$D$201,MATCH(K199,$A$2:$A$201,0)),""))</f>
        <v/>
      </c>
      <c r="M199" s="10" t="str">
        <f aca="false">IF(A199="","",IF(K199&lt;&gt;"",K199,IF(J199&lt;&gt;"",J199,IF(I199&lt;&gt;"",I199,IF(H199&lt;&gt;"",H199,A199)))))</f>
        <v/>
      </c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10" t="str">
        <f aca="false">IF(A200="","",IF(K200&lt;&gt;"",IFERROR(IF(INDEX($E$2:$E$201,MATCH(K200,$A$2:$A$201,0))="",K200,INDEX($E$2:$E$201,MATCH(K200,$A$2:$A$201,0))),K200)&amp;"/","")&amp;IF(J200&lt;&gt;"",IFERROR(IF(INDEX($E$2:$E$201,MATCH(J200,$A$2:$A$201,0))="",J200,INDEX($E$2:$E$201,MATCH(J200,$A$2:$A$201,0))),J200)&amp;"/","")&amp;IF(I200&lt;&gt;"",IFERROR(IF(INDEX($E$2:$E$201,MATCH(I200,$A$2:$A$201,0))="",I200,INDEX($E$2:$E$201,MATCH(I200,$A$2:$A$201,0))),I200)&amp;"/","")&amp;IF(H200&lt;&gt;"",IFERROR(IF(INDEX($E$2:$E$201,MATCH(H200,$A$2:$A$201,0))="",H200,INDEX($E$2:$E$201,MATCH(H200,$A$2:$A$201,0))),H200)&amp;"/","")&amp;IF(E200="",A200,E200))</f>
        <v/>
      </c>
      <c r="G200" s="10" t="str">
        <f aca="false">IF(A200="","",IF(SUMPRODUCT(--EXACT($A$2:$A$201,A200))&gt;1,"Duplicate ID",IF(SUMPRODUCT(--EXACT('1 Types'!$A$2:$A$201,C200))=0,"Type is not on the Types sheet",IF(AND(D200&lt;&gt;"",NOT(SUMPRODUCT(--EXACT($A$2:$A$201,D200))&gt;0)),"Parent is not an asset",IF(AND(D200="",IFERROR(INDEX('1 Types'!$E$2:$E$201,MATCH(C200,'1 Types'!$A$2:$A$201,0)),"")&lt;&gt;"yes"),"Needs a parent",IF(OR(L200&lt;&gt;"",H200=A200,I200=A200,J200=A200,K200=A200),"Parent loop, or more than five levels","ok"))))))</f>
        <v/>
      </c>
      <c r="H200" s="10" t="str">
        <f aca="false">IF(A200="","",D200)</f>
        <v/>
      </c>
      <c r="I200" s="10" t="str">
        <f aca="false">IF(H200="","",IFERROR(INDEX($D$2:$D$201,MATCH(H200,$A$2:$A$201,0)),""))</f>
        <v/>
      </c>
      <c r="J200" s="10" t="str">
        <f aca="false">IF(I200="","",IFERROR(INDEX($D$2:$D$201,MATCH(I200,$A$2:$A$201,0)),""))</f>
        <v/>
      </c>
      <c r="K200" s="10" t="str">
        <f aca="false">IF(J200="","",IFERROR(INDEX($D$2:$D$201,MATCH(J200,$A$2:$A$201,0)),""))</f>
        <v/>
      </c>
      <c r="L200" s="10" t="str">
        <f aca="false">IF(K200="","",IFERROR(INDEX($D$2:$D$201,MATCH(K200,$A$2:$A$201,0)),""))</f>
        <v/>
      </c>
      <c r="M200" s="10" t="str">
        <f aca="false">IF(A200="","",IF(K200&lt;&gt;"",K200,IF(J200&lt;&gt;"",J200,IF(I200&lt;&gt;"",I200,IF(H200&lt;&gt;"",H200,A200)))))</f>
        <v/>
      </c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10" t="str">
        <f aca="false">IF(A201="","",IF(K201&lt;&gt;"",IFERROR(IF(INDEX($E$2:$E$201,MATCH(K201,$A$2:$A$201,0))="",K201,INDEX($E$2:$E$201,MATCH(K201,$A$2:$A$201,0))),K201)&amp;"/","")&amp;IF(J201&lt;&gt;"",IFERROR(IF(INDEX($E$2:$E$201,MATCH(J201,$A$2:$A$201,0))="",J201,INDEX($E$2:$E$201,MATCH(J201,$A$2:$A$201,0))),J201)&amp;"/","")&amp;IF(I201&lt;&gt;"",IFERROR(IF(INDEX($E$2:$E$201,MATCH(I201,$A$2:$A$201,0))="",I201,INDEX($E$2:$E$201,MATCH(I201,$A$2:$A$201,0))),I201)&amp;"/","")&amp;IF(H201&lt;&gt;"",IFERROR(IF(INDEX($E$2:$E$201,MATCH(H201,$A$2:$A$201,0))="",H201,INDEX($E$2:$E$201,MATCH(H201,$A$2:$A$201,0))),H201)&amp;"/","")&amp;IF(E201="",A201,E201))</f>
        <v/>
      </c>
      <c r="G201" s="10" t="str">
        <f aca="false">IF(A201="","",IF(SUMPRODUCT(--EXACT($A$2:$A$201,A201))&gt;1,"Duplicate ID",IF(SUMPRODUCT(--EXACT('1 Types'!$A$2:$A$201,C201))=0,"Type is not on the Types sheet",IF(AND(D201&lt;&gt;"",NOT(SUMPRODUCT(--EXACT($A$2:$A$201,D201))&gt;0)),"Parent is not an asset",IF(AND(D201="",IFERROR(INDEX('1 Types'!$E$2:$E$201,MATCH(C201,'1 Types'!$A$2:$A$201,0)),"")&lt;&gt;"yes"),"Needs a parent",IF(OR(L201&lt;&gt;"",H201=A201,I201=A201,J201=A201,K201=A201),"Parent loop, or more than five levels","ok"))))))</f>
        <v/>
      </c>
      <c r="H201" s="10" t="str">
        <f aca="false">IF(A201="","",D201)</f>
        <v/>
      </c>
      <c r="I201" s="10" t="str">
        <f aca="false">IF(H201="","",IFERROR(INDEX($D$2:$D$201,MATCH(H201,$A$2:$A$201,0)),""))</f>
        <v/>
      </c>
      <c r="J201" s="10" t="str">
        <f aca="false">IF(I201="","",IFERROR(INDEX($D$2:$D$201,MATCH(I201,$A$2:$A$201,0)),""))</f>
        <v/>
      </c>
      <c r="K201" s="10" t="str">
        <f aca="false">IF(J201="","",IFERROR(INDEX($D$2:$D$201,MATCH(J201,$A$2:$A$201,0)),""))</f>
        <v/>
      </c>
      <c r="L201" s="10" t="str">
        <f aca="false">IF(K201="","",IFERROR(INDEX($D$2:$D$201,MATCH(K201,$A$2:$A$201,0)),""))</f>
        <v/>
      </c>
      <c r="M201" s="10" t="str">
        <f aca="false">IF(A201="","",IF(K201&lt;&gt;"",K201,IF(J201&lt;&gt;"",J201,IF(I201&lt;&gt;"",I201,IF(H201&lt;&gt;"",H201,A201)))))</f>
        <v/>
      </c>
    </row>
  </sheetData>
  <dataValidations count="2">
    <dataValidation allowBlank="true" error="This value is not on the list. The check column will flag it." errorStyle="warning" errorTitle="Not on the list" operator="between" prompt="Pick a type from the Types sheet." showDropDown="false" showErrorMessage="true" showInputMessage="true" sqref="C2:C201" type="list">
      <formula1>'1 Types'!$A$2:$A$201</formula1>
      <formula2>0</formula2>
    </dataValidation>
    <dataValidation allowBlank="true" error="This value is not on the list. The check column will flag it." errorStyle="warning" errorTitle="Not on the list" operator="between" prompt="Pick the asset this one sits under. Blank only for a site or network." showDropDown="false" showErrorMessage="true" showInputMessage="true" sqref="D2:D201" type="list">
      <formula1>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8" t="s">
        <v>152</v>
      </c>
      <c r="B1" s="8" t="s">
        <v>95</v>
      </c>
      <c r="C1" s="8" t="s">
        <v>153</v>
      </c>
      <c r="D1" s="8" t="s">
        <v>154</v>
      </c>
      <c r="E1" s="8" t="s">
        <v>96</v>
      </c>
      <c r="F1" s="8" t="s">
        <v>155</v>
      </c>
      <c r="G1" s="8" t="s">
        <v>143</v>
      </c>
      <c r="H1" s="8" t="s">
        <v>156</v>
      </c>
      <c r="I1" s="8" t="s">
        <v>49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9"/>
      <c r="G2" s="9"/>
      <c r="H2" s="10" t="str">
        <f aca="false">IF(A2="","",IF(SUMPRODUCT(--EXACT('3 Bindings'!$A$2:$A$201,A2))&gt;0,"yes","not yet"))</f>
        <v/>
      </c>
      <c r="I2" s="10" t="str">
        <f aca="false">IF(A2="","",IF(SUMPRODUCT(--EXACT($A$2:$A$201,A2))&gt;1,"Duplicate ID",IF(AND(B2&lt;&gt;"Measurement",B2&lt;&gt;"State or alarm"),"Kind must be Measurement or State or alarm",IF(SUMPRODUCT(--EXACT('2 Assets'!$A$2:$A$201,C2))=0,"Asset is not on the Assets sheet",IF(SUMPRODUCT(--EXACT('1 Measurement types'!$A$2:$A$201,D2))=0,"Not on the Measurement types sheet",IF(INDEX('1 Measurement types'!$B$2:$B$201,MATCH(D2,'1 Measurement types'!$A$2:$A$201,0))&lt;&gt;B2,"Kind does not match its measurement type",IF(AND(B2="Measurement",E2=""),"A measurement needs a unit",IF(AND(B2="Measurement",NOT(EXACT(E2,INDEX('1 Measurement types'!$C$2:$C$201,MATCH(D2,'1 Measurement types'!$A$2:$A$201,0))))),"Unit does not match its measurement type",IF(F2="","Give it a short name","ok")))))))))</f>
        <v/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10" t="str">
        <f aca="false">IF(A3="","",IF(SUMPRODUCT(--EXACT('3 Bindings'!$A$2:$A$201,A3))&gt;0,"yes","not yet"))</f>
        <v/>
      </c>
      <c r="I3" s="10" t="str">
        <f aca="false">IF(A3="","",IF(SUMPRODUCT(--EXACT($A$2:$A$201,A3))&gt;1,"Duplicate ID",IF(AND(B3&lt;&gt;"Measurement",B3&lt;&gt;"State or alarm"),"Kind must be Measurement or State or alarm",IF(SUMPRODUCT(--EXACT('2 Assets'!$A$2:$A$201,C3))=0,"Asset is not on the Assets sheet",IF(SUMPRODUCT(--EXACT('1 Measurement types'!$A$2:$A$201,D3))=0,"Not on the Measurement types sheet",IF(INDEX('1 Measurement types'!$B$2:$B$201,MATCH(D3,'1 Measurement types'!$A$2:$A$201,0))&lt;&gt;B3,"Kind does not match its measurement type",IF(AND(B3="Measurement",E3=""),"A measurement needs a unit",IF(AND(B3="Measurement",NOT(EXACT(E3,INDEX('1 Measurement types'!$C$2:$C$201,MATCH(D3,'1 Measurement types'!$A$2:$A$201,0))))),"Unit does not match its measurement type",IF(F3="","Give it a short name","ok")))))))))</f>
        <v/>
      </c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10" t="str">
        <f aca="false">IF(A4="","",IF(SUMPRODUCT(--EXACT('3 Bindings'!$A$2:$A$201,A4))&gt;0,"yes","not yet"))</f>
        <v/>
      </c>
      <c r="I4" s="10" t="str">
        <f aca="false">IF(A4="","",IF(SUMPRODUCT(--EXACT($A$2:$A$201,A4))&gt;1,"Duplicate ID",IF(AND(B4&lt;&gt;"Measurement",B4&lt;&gt;"State or alarm"),"Kind must be Measurement or State or alarm",IF(SUMPRODUCT(--EXACT('2 Assets'!$A$2:$A$201,C4))=0,"Asset is not on the Assets sheet",IF(SUMPRODUCT(--EXACT('1 Measurement types'!$A$2:$A$201,D4))=0,"Not on the Measurement types sheet",IF(INDEX('1 Measurement types'!$B$2:$B$201,MATCH(D4,'1 Measurement types'!$A$2:$A$201,0))&lt;&gt;B4,"Kind does not match its measurement type",IF(AND(B4="Measurement",E4=""),"A measurement needs a unit",IF(AND(B4="Measurement",NOT(EXACT(E4,INDEX('1 Measurement types'!$C$2:$C$201,MATCH(D4,'1 Measurement types'!$A$2:$A$201,0))))),"Unit does not match its measurement type",IF(F4="","Give it a short name","ok")))))))))</f>
        <v/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10" t="str">
        <f aca="false">IF(A5="","",IF(SUMPRODUCT(--EXACT('3 Bindings'!$A$2:$A$201,A5))&gt;0,"yes","not yet"))</f>
        <v/>
      </c>
      <c r="I5" s="10" t="str">
        <f aca="false">IF(A5="","",IF(SUMPRODUCT(--EXACT($A$2:$A$201,A5))&gt;1,"Duplicate ID",IF(AND(B5&lt;&gt;"Measurement",B5&lt;&gt;"State or alarm"),"Kind must be Measurement or State or alarm",IF(SUMPRODUCT(--EXACT('2 Assets'!$A$2:$A$201,C5))=0,"Asset is not on the Assets sheet",IF(SUMPRODUCT(--EXACT('1 Measurement types'!$A$2:$A$201,D5))=0,"Not on the Measurement types sheet",IF(INDEX('1 Measurement types'!$B$2:$B$201,MATCH(D5,'1 Measurement types'!$A$2:$A$201,0))&lt;&gt;B5,"Kind does not match its measurement type",IF(AND(B5="Measurement",E5=""),"A measurement needs a unit",IF(AND(B5="Measurement",NOT(EXACT(E5,INDEX('1 Measurement types'!$C$2:$C$201,MATCH(D5,'1 Measurement types'!$A$2:$A$201,0))))),"Unit does not match its measurement type",IF(F5="","Give it a short name","ok")))))))))</f>
        <v/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10" t="str">
        <f aca="false">IF(A6="","",IF(SUMPRODUCT(--EXACT('3 Bindings'!$A$2:$A$201,A6))&gt;0,"yes","not yet"))</f>
        <v/>
      </c>
      <c r="I6" s="10" t="str">
        <f aca="false">IF(A6="","",IF(SUMPRODUCT(--EXACT($A$2:$A$201,A6))&gt;1,"Duplicate ID",IF(AND(B6&lt;&gt;"Measurement",B6&lt;&gt;"State or alarm"),"Kind must be Measurement or State or alarm",IF(SUMPRODUCT(--EXACT('2 Assets'!$A$2:$A$201,C6))=0,"Asset is not on the Assets sheet",IF(SUMPRODUCT(--EXACT('1 Measurement types'!$A$2:$A$201,D6))=0,"Not on the Measurement types sheet",IF(INDEX('1 Measurement types'!$B$2:$B$201,MATCH(D6,'1 Measurement types'!$A$2:$A$201,0))&lt;&gt;B6,"Kind does not match its measurement type",IF(AND(B6="Measurement",E6=""),"A measurement needs a unit",IF(AND(B6="Measurement",NOT(EXACT(E6,INDEX('1 Measurement types'!$C$2:$C$201,MATCH(D6,'1 Measurement types'!$A$2:$A$201,0))))),"Unit does not match its measurement type",IF(F6="","Give it a short name","ok")))))))))</f>
        <v/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10" t="str">
        <f aca="false">IF(A7="","",IF(SUMPRODUCT(--EXACT('3 Bindings'!$A$2:$A$201,A7))&gt;0,"yes","not yet"))</f>
        <v/>
      </c>
      <c r="I7" s="10" t="str">
        <f aca="false">IF(A7="","",IF(SUMPRODUCT(--EXACT($A$2:$A$201,A7))&gt;1,"Duplicate ID",IF(AND(B7&lt;&gt;"Measurement",B7&lt;&gt;"State or alarm"),"Kind must be Measurement or State or alarm",IF(SUMPRODUCT(--EXACT('2 Assets'!$A$2:$A$201,C7))=0,"Asset is not on the Assets sheet",IF(SUMPRODUCT(--EXACT('1 Measurement types'!$A$2:$A$201,D7))=0,"Not on the Measurement types sheet",IF(INDEX('1 Measurement types'!$B$2:$B$201,MATCH(D7,'1 Measurement types'!$A$2:$A$201,0))&lt;&gt;B7,"Kind does not match its measurement type",IF(AND(B7="Measurement",E7=""),"A measurement needs a unit",IF(AND(B7="Measurement",NOT(EXACT(E7,INDEX('1 Measurement types'!$C$2:$C$201,MATCH(D7,'1 Measurement types'!$A$2:$A$201,0))))),"Unit does not match its measurement type",IF(F7="","Give it a short name","ok")))))))))</f>
        <v/>
      </c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10" t="str">
        <f aca="false">IF(A8="","",IF(SUMPRODUCT(--EXACT('3 Bindings'!$A$2:$A$201,A8))&gt;0,"yes","not yet"))</f>
        <v/>
      </c>
      <c r="I8" s="10" t="str">
        <f aca="false">IF(A8="","",IF(SUMPRODUCT(--EXACT($A$2:$A$201,A8))&gt;1,"Duplicate ID",IF(AND(B8&lt;&gt;"Measurement",B8&lt;&gt;"State or alarm"),"Kind must be Measurement or State or alarm",IF(SUMPRODUCT(--EXACT('2 Assets'!$A$2:$A$201,C8))=0,"Asset is not on the Assets sheet",IF(SUMPRODUCT(--EXACT('1 Measurement types'!$A$2:$A$201,D8))=0,"Not on the Measurement types sheet",IF(INDEX('1 Measurement types'!$B$2:$B$201,MATCH(D8,'1 Measurement types'!$A$2:$A$201,0))&lt;&gt;B8,"Kind does not match its measurement type",IF(AND(B8="Measurement",E8=""),"A measurement needs a unit",IF(AND(B8="Measurement",NOT(EXACT(E8,INDEX('1 Measurement types'!$C$2:$C$201,MATCH(D8,'1 Measurement types'!$A$2:$A$201,0))))),"Unit does not match its measurement type",IF(F8="","Give it a short name","ok")))))))))</f>
        <v/>
      </c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10" t="str">
        <f aca="false">IF(A9="","",IF(SUMPRODUCT(--EXACT('3 Bindings'!$A$2:$A$201,A9))&gt;0,"yes","not yet"))</f>
        <v/>
      </c>
      <c r="I9" s="10" t="str">
        <f aca="false">IF(A9="","",IF(SUMPRODUCT(--EXACT($A$2:$A$201,A9))&gt;1,"Duplicate ID",IF(AND(B9&lt;&gt;"Measurement",B9&lt;&gt;"State or alarm"),"Kind must be Measurement or State or alarm",IF(SUMPRODUCT(--EXACT('2 Assets'!$A$2:$A$201,C9))=0,"Asset is not on the Assets sheet",IF(SUMPRODUCT(--EXACT('1 Measurement types'!$A$2:$A$201,D9))=0,"Not on the Measurement types sheet",IF(INDEX('1 Measurement types'!$B$2:$B$201,MATCH(D9,'1 Measurement types'!$A$2:$A$201,0))&lt;&gt;B9,"Kind does not match its measurement type",IF(AND(B9="Measurement",E9=""),"A measurement needs a unit",IF(AND(B9="Measurement",NOT(EXACT(E9,INDEX('1 Measurement types'!$C$2:$C$201,MATCH(D9,'1 Measurement types'!$A$2:$A$201,0))))),"Unit does not match its measurement type",IF(F9="","Give it a short name","ok")))))))))</f>
        <v/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10" t="str">
        <f aca="false">IF(A10="","",IF(SUMPRODUCT(--EXACT('3 Bindings'!$A$2:$A$201,A10))&gt;0,"yes","not yet"))</f>
        <v/>
      </c>
      <c r="I10" s="10" t="str">
        <f aca="false">IF(A10="","",IF(SUMPRODUCT(--EXACT($A$2:$A$201,A10))&gt;1,"Duplicate ID",IF(AND(B10&lt;&gt;"Measurement",B10&lt;&gt;"State or alarm"),"Kind must be Measurement or State or alarm",IF(SUMPRODUCT(--EXACT('2 Assets'!$A$2:$A$201,C10))=0,"Asset is not on the Assets sheet",IF(SUMPRODUCT(--EXACT('1 Measurement types'!$A$2:$A$201,D10))=0,"Not on the Measurement types sheet",IF(INDEX('1 Measurement types'!$B$2:$B$201,MATCH(D10,'1 Measurement types'!$A$2:$A$201,0))&lt;&gt;B10,"Kind does not match its measurement type",IF(AND(B10="Measurement",E10=""),"A measurement needs a unit",IF(AND(B10="Measurement",NOT(EXACT(E10,INDEX('1 Measurement types'!$C$2:$C$201,MATCH(D10,'1 Measurement types'!$A$2:$A$201,0))))),"Unit does not match its measurement type",IF(F10="","Give it a short name","ok")))))))))</f>
        <v/>
      </c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10" t="str">
        <f aca="false">IF(A11="","",IF(SUMPRODUCT(--EXACT('3 Bindings'!$A$2:$A$201,A11))&gt;0,"yes","not yet"))</f>
        <v/>
      </c>
      <c r="I11" s="10" t="str">
        <f aca="false">IF(A11="","",IF(SUMPRODUCT(--EXACT($A$2:$A$201,A11))&gt;1,"Duplicate ID",IF(AND(B11&lt;&gt;"Measurement",B11&lt;&gt;"State or alarm"),"Kind must be Measurement or State or alarm",IF(SUMPRODUCT(--EXACT('2 Assets'!$A$2:$A$201,C11))=0,"Asset is not on the Assets sheet",IF(SUMPRODUCT(--EXACT('1 Measurement types'!$A$2:$A$201,D11))=0,"Not on the Measurement types sheet",IF(INDEX('1 Measurement types'!$B$2:$B$201,MATCH(D11,'1 Measurement types'!$A$2:$A$201,0))&lt;&gt;B11,"Kind does not match its measurement type",IF(AND(B11="Measurement",E11=""),"A measurement needs a unit",IF(AND(B11="Measurement",NOT(EXACT(E11,INDEX('1 Measurement types'!$C$2:$C$201,MATCH(D11,'1 Measurement types'!$A$2:$A$201,0))))),"Unit does not match its measurement type",IF(F11="","Give it a short name","ok")))))))))</f>
        <v/>
      </c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10" t="str">
        <f aca="false">IF(A12="","",IF(SUMPRODUCT(--EXACT('3 Bindings'!$A$2:$A$201,A12))&gt;0,"yes","not yet"))</f>
        <v/>
      </c>
      <c r="I12" s="10" t="str">
        <f aca="false">IF(A12="","",IF(SUMPRODUCT(--EXACT($A$2:$A$201,A12))&gt;1,"Duplicate ID",IF(AND(B12&lt;&gt;"Measurement",B12&lt;&gt;"State or alarm"),"Kind must be Measurement or State or alarm",IF(SUMPRODUCT(--EXACT('2 Assets'!$A$2:$A$201,C12))=0,"Asset is not on the Assets sheet",IF(SUMPRODUCT(--EXACT('1 Measurement types'!$A$2:$A$201,D12))=0,"Not on the Measurement types sheet",IF(INDEX('1 Measurement types'!$B$2:$B$201,MATCH(D12,'1 Measurement types'!$A$2:$A$201,0))&lt;&gt;B12,"Kind does not match its measurement type",IF(AND(B12="Measurement",E12=""),"A measurement needs a unit",IF(AND(B12="Measurement",NOT(EXACT(E12,INDEX('1 Measurement types'!$C$2:$C$201,MATCH(D12,'1 Measurement types'!$A$2:$A$201,0))))),"Unit does not match its measurement type",IF(F12="","Give it a short name","ok")))))))))</f>
        <v/>
      </c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10" t="str">
        <f aca="false">IF(A13="","",IF(SUMPRODUCT(--EXACT('3 Bindings'!$A$2:$A$201,A13))&gt;0,"yes","not yet"))</f>
        <v/>
      </c>
      <c r="I13" s="10" t="str">
        <f aca="false">IF(A13="","",IF(SUMPRODUCT(--EXACT($A$2:$A$201,A13))&gt;1,"Duplicate ID",IF(AND(B13&lt;&gt;"Measurement",B13&lt;&gt;"State or alarm"),"Kind must be Measurement or State or alarm",IF(SUMPRODUCT(--EXACT('2 Assets'!$A$2:$A$201,C13))=0,"Asset is not on the Assets sheet",IF(SUMPRODUCT(--EXACT('1 Measurement types'!$A$2:$A$201,D13))=0,"Not on the Measurement types sheet",IF(INDEX('1 Measurement types'!$B$2:$B$201,MATCH(D13,'1 Measurement types'!$A$2:$A$201,0))&lt;&gt;B13,"Kind does not match its measurement type",IF(AND(B13="Measurement",E13=""),"A measurement needs a unit",IF(AND(B13="Measurement",NOT(EXACT(E13,INDEX('1 Measurement types'!$C$2:$C$201,MATCH(D13,'1 Measurement types'!$A$2:$A$201,0))))),"Unit does not match its measurement type",IF(F13="","Give it a short name","ok")))))))))</f>
        <v/>
      </c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10" t="str">
        <f aca="false">IF(A14="","",IF(SUMPRODUCT(--EXACT('3 Bindings'!$A$2:$A$201,A14))&gt;0,"yes","not yet"))</f>
        <v/>
      </c>
      <c r="I14" s="10" t="str">
        <f aca="false">IF(A14="","",IF(SUMPRODUCT(--EXACT($A$2:$A$201,A14))&gt;1,"Duplicate ID",IF(AND(B14&lt;&gt;"Measurement",B14&lt;&gt;"State or alarm"),"Kind must be Measurement or State or alarm",IF(SUMPRODUCT(--EXACT('2 Assets'!$A$2:$A$201,C14))=0,"Asset is not on the Assets sheet",IF(SUMPRODUCT(--EXACT('1 Measurement types'!$A$2:$A$201,D14))=0,"Not on the Measurement types sheet",IF(INDEX('1 Measurement types'!$B$2:$B$201,MATCH(D14,'1 Measurement types'!$A$2:$A$201,0))&lt;&gt;B14,"Kind does not match its measurement type",IF(AND(B14="Measurement",E14=""),"A measurement needs a unit",IF(AND(B14="Measurement",NOT(EXACT(E14,INDEX('1 Measurement types'!$C$2:$C$201,MATCH(D14,'1 Measurement types'!$A$2:$A$201,0))))),"Unit does not match its measurement type",IF(F14="","Give it a short name","ok")))))))))</f>
        <v/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10" t="str">
        <f aca="false">IF(A15="","",IF(SUMPRODUCT(--EXACT('3 Bindings'!$A$2:$A$201,A15))&gt;0,"yes","not yet"))</f>
        <v/>
      </c>
      <c r="I15" s="10" t="str">
        <f aca="false">IF(A15="","",IF(SUMPRODUCT(--EXACT($A$2:$A$201,A15))&gt;1,"Duplicate ID",IF(AND(B15&lt;&gt;"Measurement",B15&lt;&gt;"State or alarm"),"Kind must be Measurement or State or alarm",IF(SUMPRODUCT(--EXACT('2 Assets'!$A$2:$A$201,C15))=0,"Asset is not on the Assets sheet",IF(SUMPRODUCT(--EXACT('1 Measurement types'!$A$2:$A$201,D15))=0,"Not on the Measurement types sheet",IF(INDEX('1 Measurement types'!$B$2:$B$201,MATCH(D15,'1 Measurement types'!$A$2:$A$201,0))&lt;&gt;B15,"Kind does not match its measurement type",IF(AND(B15="Measurement",E15=""),"A measurement needs a unit",IF(AND(B15="Measurement",NOT(EXACT(E15,INDEX('1 Measurement types'!$C$2:$C$201,MATCH(D15,'1 Measurement types'!$A$2:$A$201,0))))),"Unit does not match its measurement type",IF(F15="","Give it a short name","ok")))))))))</f>
        <v/>
      </c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10" t="str">
        <f aca="false">IF(A16="","",IF(SUMPRODUCT(--EXACT('3 Bindings'!$A$2:$A$201,A16))&gt;0,"yes","not yet"))</f>
        <v/>
      </c>
      <c r="I16" s="10" t="str">
        <f aca="false">IF(A16="","",IF(SUMPRODUCT(--EXACT($A$2:$A$201,A16))&gt;1,"Duplicate ID",IF(AND(B16&lt;&gt;"Measurement",B16&lt;&gt;"State or alarm"),"Kind must be Measurement or State or alarm",IF(SUMPRODUCT(--EXACT('2 Assets'!$A$2:$A$201,C16))=0,"Asset is not on the Assets sheet",IF(SUMPRODUCT(--EXACT('1 Measurement types'!$A$2:$A$201,D16))=0,"Not on the Measurement types sheet",IF(INDEX('1 Measurement types'!$B$2:$B$201,MATCH(D16,'1 Measurement types'!$A$2:$A$201,0))&lt;&gt;B16,"Kind does not match its measurement type",IF(AND(B16="Measurement",E16=""),"A measurement needs a unit",IF(AND(B16="Measurement",NOT(EXACT(E16,INDEX('1 Measurement types'!$C$2:$C$201,MATCH(D16,'1 Measurement types'!$A$2:$A$201,0))))),"Unit does not match its measurement type",IF(F16="","Give it a short name","ok")))))))))</f>
        <v/>
      </c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10" t="str">
        <f aca="false">IF(A17="","",IF(SUMPRODUCT(--EXACT('3 Bindings'!$A$2:$A$201,A17))&gt;0,"yes","not yet"))</f>
        <v/>
      </c>
      <c r="I17" s="10" t="str">
        <f aca="false">IF(A17="","",IF(SUMPRODUCT(--EXACT($A$2:$A$201,A17))&gt;1,"Duplicate ID",IF(AND(B17&lt;&gt;"Measurement",B17&lt;&gt;"State or alarm"),"Kind must be Measurement or State or alarm",IF(SUMPRODUCT(--EXACT('2 Assets'!$A$2:$A$201,C17))=0,"Asset is not on the Assets sheet",IF(SUMPRODUCT(--EXACT('1 Measurement types'!$A$2:$A$201,D17))=0,"Not on the Measurement types sheet",IF(INDEX('1 Measurement types'!$B$2:$B$201,MATCH(D17,'1 Measurement types'!$A$2:$A$201,0))&lt;&gt;B17,"Kind does not match its measurement type",IF(AND(B17="Measurement",E17=""),"A measurement needs a unit",IF(AND(B17="Measurement",NOT(EXACT(E17,INDEX('1 Measurement types'!$C$2:$C$201,MATCH(D17,'1 Measurement types'!$A$2:$A$201,0))))),"Unit does not match its measurement type",IF(F17="","Give it a short name","ok")))))))))</f>
        <v/>
      </c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10" t="str">
        <f aca="false">IF(A18="","",IF(SUMPRODUCT(--EXACT('3 Bindings'!$A$2:$A$201,A18))&gt;0,"yes","not yet"))</f>
        <v/>
      </c>
      <c r="I18" s="10" t="str">
        <f aca="false">IF(A18="","",IF(SUMPRODUCT(--EXACT($A$2:$A$201,A18))&gt;1,"Duplicate ID",IF(AND(B18&lt;&gt;"Measurement",B18&lt;&gt;"State or alarm"),"Kind must be Measurement or State or alarm",IF(SUMPRODUCT(--EXACT('2 Assets'!$A$2:$A$201,C18))=0,"Asset is not on the Assets sheet",IF(SUMPRODUCT(--EXACT('1 Measurement types'!$A$2:$A$201,D18))=0,"Not on the Measurement types sheet",IF(INDEX('1 Measurement types'!$B$2:$B$201,MATCH(D18,'1 Measurement types'!$A$2:$A$201,0))&lt;&gt;B18,"Kind does not match its measurement type",IF(AND(B18="Measurement",E18=""),"A measurement needs a unit",IF(AND(B18="Measurement",NOT(EXACT(E18,INDEX('1 Measurement types'!$C$2:$C$201,MATCH(D18,'1 Measurement types'!$A$2:$A$201,0))))),"Unit does not match its measurement type",IF(F18="","Give it a short name","ok")))))))))</f>
        <v/>
      </c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10" t="str">
        <f aca="false">IF(A19="","",IF(SUMPRODUCT(--EXACT('3 Bindings'!$A$2:$A$201,A19))&gt;0,"yes","not yet"))</f>
        <v/>
      </c>
      <c r="I19" s="10" t="str">
        <f aca="false">IF(A19="","",IF(SUMPRODUCT(--EXACT($A$2:$A$201,A19))&gt;1,"Duplicate ID",IF(AND(B19&lt;&gt;"Measurement",B19&lt;&gt;"State or alarm"),"Kind must be Measurement or State or alarm",IF(SUMPRODUCT(--EXACT('2 Assets'!$A$2:$A$201,C19))=0,"Asset is not on the Assets sheet",IF(SUMPRODUCT(--EXACT('1 Measurement types'!$A$2:$A$201,D19))=0,"Not on the Measurement types sheet",IF(INDEX('1 Measurement types'!$B$2:$B$201,MATCH(D19,'1 Measurement types'!$A$2:$A$201,0))&lt;&gt;B19,"Kind does not match its measurement type",IF(AND(B19="Measurement",E19=""),"A measurement needs a unit",IF(AND(B19="Measurement",NOT(EXACT(E19,INDEX('1 Measurement types'!$C$2:$C$201,MATCH(D19,'1 Measurement types'!$A$2:$A$201,0))))),"Unit does not match its measurement type",IF(F19="","Give it a short name","ok")))))))))</f>
        <v/>
      </c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10" t="str">
        <f aca="false">IF(A20="","",IF(SUMPRODUCT(--EXACT('3 Bindings'!$A$2:$A$201,A20))&gt;0,"yes","not yet"))</f>
        <v/>
      </c>
      <c r="I20" s="10" t="str">
        <f aca="false">IF(A20="","",IF(SUMPRODUCT(--EXACT($A$2:$A$201,A20))&gt;1,"Duplicate ID",IF(AND(B20&lt;&gt;"Measurement",B20&lt;&gt;"State or alarm"),"Kind must be Measurement or State or alarm",IF(SUMPRODUCT(--EXACT('2 Assets'!$A$2:$A$201,C20))=0,"Asset is not on the Assets sheet",IF(SUMPRODUCT(--EXACT('1 Measurement types'!$A$2:$A$201,D20))=0,"Not on the Measurement types sheet",IF(INDEX('1 Measurement types'!$B$2:$B$201,MATCH(D20,'1 Measurement types'!$A$2:$A$201,0))&lt;&gt;B20,"Kind does not match its measurement type",IF(AND(B20="Measurement",E20=""),"A measurement needs a unit",IF(AND(B20="Measurement",NOT(EXACT(E20,INDEX('1 Measurement types'!$C$2:$C$201,MATCH(D20,'1 Measurement types'!$A$2:$A$201,0))))),"Unit does not match its measurement type",IF(F20="","Give it a short name","ok")))))))))</f>
        <v/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10" t="str">
        <f aca="false">IF(A21="","",IF(SUMPRODUCT(--EXACT('3 Bindings'!$A$2:$A$201,A21))&gt;0,"yes","not yet"))</f>
        <v/>
      </c>
      <c r="I21" s="10" t="str">
        <f aca="false">IF(A21="","",IF(SUMPRODUCT(--EXACT($A$2:$A$201,A21))&gt;1,"Duplicate ID",IF(AND(B21&lt;&gt;"Measurement",B21&lt;&gt;"State or alarm"),"Kind must be Measurement or State or alarm",IF(SUMPRODUCT(--EXACT('2 Assets'!$A$2:$A$201,C21))=0,"Asset is not on the Assets sheet",IF(SUMPRODUCT(--EXACT('1 Measurement types'!$A$2:$A$201,D21))=0,"Not on the Measurement types sheet",IF(INDEX('1 Measurement types'!$B$2:$B$201,MATCH(D21,'1 Measurement types'!$A$2:$A$201,0))&lt;&gt;B21,"Kind does not match its measurement type",IF(AND(B21="Measurement",E21=""),"A measurement needs a unit",IF(AND(B21="Measurement",NOT(EXACT(E21,INDEX('1 Measurement types'!$C$2:$C$201,MATCH(D21,'1 Measurement types'!$A$2:$A$201,0))))),"Unit does not match its measurement type",IF(F21="","Give it a short name","ok")))))))))</f>
        <v/>
      </c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10" t="str">
        <f aca="false">IF(A22="","",IF(SUMPRODUCT(--EXACT('3 Bindings'!$A$2:$A$201,A22))&gt;0,"yes","not yet"))</f>
        <v/>
      </c>
      <c r="I22" s="10" t="str">
        <f aca="false">IF(A22="","",IF(SUMPRODUCT(--EXACT($A$2:$A$201,A22))&gt;1,"Duplicate ID",IF(AND(B22&lt;&gt;"Measurement",B22&lt;&gt;"State or alarm"),"Kind must be Measurement or State or alarm",IF(SUMPRODUCT(--EXACT('2 Assets'!$A$2:$A$201,C22))=0,"Asset is not on the Assets sheet",IF(SUMPRODUCT(--EXACT('1 Measurement types'!$A$2:$A$201,D22))=0,"Not on the Measurement types sheet",IF(INDEX('1 Measurement types'!$B$2:$B$201,MATCH(D22,'1 Measurement types'!$A$2:$A$201,0))&lt;&gt;B22,"Kind does not match its measurement type",IF(AND(B22="Measurement",E22=""),"A measurement needs a unit",IF(AND(B22="Measurement",NOT(EXACT(E22,INDEX('1 Measurement types'!$C$2:$C$201,MATCH(D22,'1 Measurement types'!$A$2:$A$201,0))))),"Unit does not match its measurement type",IF(F22="","Give it a short name","ok")))))))))</f>
        <v/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10" t="str">
        <f aca="false">IF(A23="","",IF(SUMPRODUCT(--EXACT('3 Bindings'!$A$2:$A$201,A23))&gt;0,"yes","not yet"))</f>
        <v/>
      </c>
      <c r="I23" s="10" t="str">
        <f aca="false">IF(A23="","",IF(SUMPRODUCT(--EXACT($A$2:$A$201,A23))&gt;1,"Duplicate ID",IF(AND(B23&lt;&gt;"Measurement",B23&lt;&gt;"State or alarm"),"Kind must be Measurement or State or alarm",IF(SUMPRODUCT(--EXACT('2 Assets'!$A$2:$A$201,C23))=0,"Asset is not on the Assets sheet",IF(SUMPRODUCT(--EXACT('1 Measurement types'!$A$2:$A$201,D23))=0,"Not on the Measurement types sheet",IF(INDEX('1 Measurement types'!$B$2:$B$201,MATCH(D23,'1 Measurement types'!$A$2:$A$201,0))&lt;&gt;B23,"Kind does not match its measurement type",IF(AND(B23="Measurement",E23=""),"A measurement needs a unit",IF(AND(B23="Measurement",NOT(EXACT(E23,INDEX('1 Measurement types'!$C$2:$C$201,MATCH(D23,'1 Measurement types'!$A$2:$A$201,0))))),"Unit does not match its measurement type",IF(F23="","Give it a short name","ok")))))))))</f>
        <v/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10" t="str">
        <f aca="false">IF(A24="","",IF(SUMPRODUCT(--EXACT('3 Bindings'!$A$2:$A$201,A24))&gt;0,"yes","not yet"))</f>
        <v/>
      </c>
      <c r="I24" s="10" t="str">
        <f aca="false">IF(A24="","",IF(SUMPRODUCT(--EXACT($A$2:$A$201,A24))&gt;1,"Duplicate ID",IF(AND(B24&lt;&gt;"Measurement",B24&lt;&gt;"State or alarm"),"Kind must be Measurement or State or alarm",IF(SUMPRODUCT(--EXACT('2 Assets'!$A$2:$A$201,C24))=0,"Asset is not on the Assets sheet",IF(SUMPRODUCT(--EXACT('1 Measurement types'!$A$2:$A$201,D24))=0,"Not on the Measurement types sheet",IF(INDEX('1 Measurement types'!$B$2:$B$201,MATCH(D24,'1 Measurement types'!$A$2:$A$201,0))&lt;&gt;B24,"Kind does not match its measurement type",IF(AND(B24="Measurement",E24=""),"A measurement needs a unit",IF(AND(B24="Measurement",NOT(EXACT(E24,INDEX('1 Measurement types'!$C$2:$C$201,MATCH(D24,'1 Measurement types'!$A$2:$A$201,0))))),"Unit does not match its measurement type",IF(F24="","Give it a short name","ok")))))))))</f>
        <v/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10" t="str">
        <f aca="false">IF(A25="","",IF(SUMPRODUCT(--EXACT('3 Bindings'!$A$2:$A$201,A25))&gt;0,"yes","not yet"))</f>
        <v/>
      </c>
      <c r="I25" s="10" t="str">
        <f aca="false">IF(A25="","",IF(SUMPRODUCT(--EXACT($A$2:$A$201,A25))&gt;1,"Duplicate ID",IF(AND(B25&lt;&gt;"Measurement",B25&lt;&gt;"State or alarm"),"Kind must be Measurement or State or alarm",IF(SUMPRODUCT(--EXACT('2 Assets'!$A$2:$A$201,C25))=0,"Asset is not on the Assets sheet",IF(SUMPRODUCT(--EXACT('1 Measurement types'!$A$2:$A$201,D25))=0,"Not on the Measurement types sheet",IF(INDEX('1 Measurement types'!$B$2:$B$201,MATCH(D25,'1 Measurement types'!$A$2:$A$201,0))&lt;&gt;B25,"Kind does not match its measurement type",IF(AND(B25="Measurement",E25=""),"A measurement needs a unit",IF(AND(B25="Measurement",NOT(EXACT(E25,INDEX('1 Measurement types'!$C$2:$C$201,MATCH(D25,'1 Measurement types'!$A$2:$A$201,0))))),"Unit does not match its measurement type",IF(F25="","Give it a short name","ok")))))))))</f>
        <v/>
      </c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10" t="str">
        <f aca="false">IF(A26="","",IF(SUMPRODUCT(--EXACT('3 Bindings'!$A$2:$A$201,A26))&gt;0,"yes","not yet"))</f>
        <v/>
      </c>
      <c r="I26" s="10" t="str">
        <f aca="false">IF(A26="","",IF(SUMPRODUCT(--EXACT($A$2:$A$201,A26))&gt;1,"Duplicate ID",IF(AND(B26&lt;&gt;"Measurement",B26&lt;&gt;"State or alarm"),"Kind must be Measurement or State or alarm",IF(SUMPRODUCT(--EXACT('2 Assets'!$A$2:$A$201,C26))=0,"Asset is not on the Assets sheet",IF(SUMPRODUCT(--EXACT('1 Measurement types'!$A$2:$A$201,D26))=0,"Not on the Measurement types sheet",IF(INDEX('1 Measurement types'!$B$2:$B$201,MATCH(D26,'1 Measurement types'!$A$2:$A$201,0))&lt;&gt;B26,"Kind does not match its measurement type",IF(AND(B26="Measurement",E26=""),"A measurement needs a unit",IF(AND(B26="Measurement",NOT(EXACT(E26,INDEX('1 Measurement types'!$C$2:$C$201,MATCH(D26,'1 Measurement types'!$A$2:$A$201,0))))),"Unit does not match its measurement type",IF(F26="","Give it a short name","ok")))))))))</f>
        <v/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10" t="str">
        <f aca="false">IF(A27="","",IF(SUMPRODUCT(--EXACT('3 Bindings'!$A$2:$A$201,A27))&gt;0,"yes","not yet"))</f>
        <v/>
      </c>
      <c r="I27" s="10" t="str">
        <f aca="false">IF(A27="","",IF(SUMPRODUCT(--EXACT($A$2:$A$201,A27))&gt;1,"Duplicate ID",IF(AND(B27&lt;&gt;"Measurement",B27&lt;&gt;"State or alarm"),"Kind must be Measurement or State or alarm",IF(SUMPRODUCT(--EXACT('2 Assets'!$A$2:$A$201,C27))=0,"Asset is not on the Assets sheet",IF(SUMPRODUCT(--EXACT('1 Measurement types'!$A$2:$A$201,D27))=0,"Not on the Measurement types sheet",IF(INDEX('1 Measurement types'!$B$2:$B$201,MATCH(D27,'1 Measurement types'!$A$2:$A$201,0))&lt;&gt;B27,"Kind does not match its measurement type",IF(AND(B27="Measurement",E27=""),"A measurement needs a unit",IF(AND(B27="Measurement",NOT(EXACT(E27,INDEX('1 Measurement types'!$C$2:$C$201,MATCH(D27,'1 Measurement types'!$A$2:$A$201,0))))),"Unit does not match its measurement type",IF(F27="","Give it a short name","ok")))))))))</f>
        <v/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10" t="str">
        <f aca="false">IF(A28="","",IF(SUMPRODUCT(--EXACT('3 Bindings'!$A$2:$A$201,A28))&gt;0,"yes","not yet"))</f>
        <v/>
      </c>
      <c r="I28" s="10" t="str">
        <f aca="false">IF(A28="","",IF(SUMPRODUCT(--EXACT($A$2:$A$201,A28))&gt;1,"Duplicate ID",IF(AND(B28&lt;&gt;"Measurement",B28&lt;&gt;"State or alarm"),"Kind must be Measurement or State or alarm",IF(SUMPRODUCT(--EXACT('2 Assets'!$A$2:$A$201,C28))=0,"Asset is not on the Assets sheet",IF(SUMPRODUCT(--EXACT('1 Measurement types'!$A$2:$A$201,D28))=0,"Not on the Measurement types sheet",IF(INDEX('1 Measurement types'!$B$2:$B$201,MATCH(D28,'1 Measurement types'!$A$2:$A$201,0))&lt;&gt;B28,"Kind does not match its measurement type",IF(AND(B28="Measurement",E28=""),"A measurement needs a unit",IF(AND(B28="Measurement",NOT(EXACT(E28,INDEX('1 Measurement types'!$C$2:$C$201,MATCH(D28,'1 Measurement types'!$A$2:$A$201,0))))),"Unit does not match its measurement type",IF(F28="","Give it a short name","ok")))))))))</f>
        <v/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10" t="str">
        <f aca="false">IF(A29="","",IF(SUMPRODUCT(--EXACT('3 Bindings'!$A$2:$A$201,A29))&gt;0,"yes","not yet"))</f>
        <v/>
      </c>
      <c r="I29" s="10" t="str">
        <f aca="false">IF(A29="","",IF(SUMPRODUCT(--EXACT($A$2:$A$201,A29))&gt;1,"Duplicate ID",IF(AND(B29&lt;&gt;"Measurement",B29&lt;&gt;"State or alarm"),"Kind must be Measurement or State or alarm",IF(SUMPRODUCT(--EXACT('2 Assets'!$A$2:$A$201,C29))=0,"Asset is not on the Assets sheet",IF(SUMPRODUCT(--EXACT('1 Measurement types'!$A$2:$A$201,D29))=0,"Not on the Measurement types sheet",IF(INDEX('1 Measurement types'!$B$2:$B$201,MATCH(D29,'1 Measurement types'!$A$2:$A$201,0))&lt;&gt;B29,"Kind does not match its measurement type",IF(AND(B29="Measurement",E29=""),"A measurement needs a unit",IF(AND(B29="Measurement",NOT(EXACT(E29,INDEX('1 Measurement types'!$C$2:$C$201,MATCH(D29,'1 Measurement types'!$A$2:$A$201,0))))),"Unit does not match its measurement type",IF(F29="","Give it a short name","ok")))))))))</f>
        <v/>
      </c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10" t="str">
        <f aca="false">IF(A30="","",IF(SUMPRODUCT(--EXACT('3 Bindings'!$A$2:$A$201,A30))&gt;0,"yes","not yet"))</f>
        <v/>
      </c>
      <c r="I30" s="10" t="str">
        <f aca="false">IF(A30="","",IF(SUMPRODUCT(--EXACT($A$2:$A$201,A30))&gt;1,"Duplicate ID",IF(AND(B30&lt;&gt;"Measurement",B30&lt;&gt;"State or alarm"),"Kind must be Measurement or State or alarm",IF(SUMPRODUCT(--EXACT('2 Assets'!$A$2:$A$201,C30))=0,"Asset is not on the Assets sheet",IF(SUMPRODUCT(--EXACT('1 Measurement types'!$A$2:$A$201,D30))=0,"Not on the Measurement types sheet",IF(INDEX('1 Measurement types'!$B$2:$B$201,MATCH(D30,'1 Measurement types'!$A$2:$A$201,0))&lt;&gt;B30,"Kind does not match its measurement type",IF(AND(B30="Measurement",E30=""),"A measurement needs a unit",IF(AND(B30="Measurement",NOT(EXACT(E30,INDEX('1 Measurement types'!$C$2:$C$201,MATCH(D30,'1 Measurement types'!$A$2:$A$201,0))))),"Unit does not match its measurement type",IF(F30="","Give it a short name","ok")))))))))</f>
        <v/>
      </c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10" t="str">
        <f aca="false">IF(A31="","",IF(SUMPRODUCT(--EXACT('3 Bindings'!$A$2:$A$201,A31))&gt;0,"yes","not yet"))</f>
        <v/>
      </c>
      <c r="I31" s="10" t="str">
        <f aca="false">IF(A31="","",IF(SUMPRODUCT(--EXACT($A$2:$A$201,A31))&gt;1,"Duplicate ID",IF(AND(B31&lt;&gt;"Measurement",B31&lt;&gt;"State or alarm"),"Kind must be Measurement or State or alarm",IF(SUMPRODUCT(--EXACT('2 Assets'!$A$2:$A$201,C31))=0,"Asset is not on the Assets sheet",IF(SUMPRODUCT(--EXACT('1 Measurement types'!$A$2:$A$201,D31))=0,"Not on the Measurement types sheet",IF(INDEX('1 Measurement types'!$B$2:$B$201,MATCH(D31,'1 Measurement types'!$A$2:$A$201,0))&lt;&gt;B31,"Kind does not match its measurement type",IF(AND(B31="Measurement",E31=""),"A measurement needs a unit",IF(AND(B31="Measurement",NOT(EXACT(E31,INDEX('1 Measurement types'!$C$2:$C$201,MATCH(D31,'1 Measurement types'!$A$2:$A$201,0))))),"Unit does not match its measurement type",IF(F31="","Give it a short name","ok")))))))))</f>
        <v/>
      </c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10" t="str">
        <f aca="false">IF(A32="","",IF(SUMPRODUCT(--EXACT('3 Bindings'!$A$2:$A$201,A32))&gt;0,"yes","not yet"))</f>
        <v/>
      </c>
      <c r="I32" s="10" t="str">
        <f aca="false">IF(A32="","",IF(SUMPRODUCT(--EXACT($A$2:$A$201,A32))&gt;1,"Duplicate ID",IF(AND(B32&lt;&gt;"Measurement",B32&lt;&gt;"State or alarm"),"Kind must be Measurement or State or alarm",IF(SUMPRODUCT(--EXACT('2 Assets'!$A$2:$A$201,C32))=0,"Asset is not on the Assets sheet",IF(SUMPRODUCT(--EXACT('1 Measurement types'!$A$2:$A$201,D32))=0,"Not on the Measurement types sheet",IF(INDEX('1 Measurement types'!$B$2:$B$201,MATCH(D32,'1 Measurement types'!$A$2:$A$201,0))&lt;&gt;B32,"Kind does not match its measurement type",IF(AND(B32="Measurement",E32=""),"A measurement needs a unit",IF(AND(B32="Measurement",NOT(EXACT(E32,INDEX('1 Measurement types'!$C$2:$C$201,MATCH(D32,'1 Measurement types'!$A$2:$A$201,0))))),"Unit does not match its measurement type",IF(F32="","Give it a short name","ok")))))))))</f>
        <v/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10" t="str">
        <f aca="false">IF(A33="","",IF(SUMPRODUCT(--EXACT('3 Bindings'!$A$2:$A$201,A33))&gt;0,"yes","not yet"))</f>
        <v/>
      </c>
      <c r="I33" s="10" t="str">
        <f aca="false">IF(A33="","",IF(SUMPRODUCT(--EXACT($A$2:$A$201,A33))&gt;1,"Duplicate ID",IF(AND(B33&lt;&gt;"Measurement",B33&lt;&gt;"State or alarm"),"Kind must be Measurement or State or alarm",IF(SUMPRODUCT(--EXACT('2 Assets'!$A$2:$A$201,C33))=0,"Asset is not on the Assets sheet",IF(SUMPRODUCT(--EXACT('1 Measurement types'!$A$2:$A$201,D33))=0,"Not on the Measurement types sheet",IF(INDEX('1 Measurement types'!$B$2:$B$201,MATCH(D33,'1 Measurement types'!$A$2:$A$201,0))&lt;&gt;B33,"Kind does not match its measurement type",IF(AND(B33="Measurement",E33=""),"A measurement needs a unit",IF(AND(B33="Measurement",NOT(EXACT(E33,INDEX('1 Measurement types'!$C$2:$C$201,MATCH(D33,'1 Measurement types'!$A$2:$A$201,0))))),"Unit does not match its measurement type",IF(F33="","Give it a short name","ok")))))))))</f>
        <v/>
      </c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10" t="str">
        <f aca="false">IF(A34="","",IF(SUMPRODUCT(--EXACT('3 Bindings'!$A$2:$A$201,A34))&gt;0,"yes","not yet"))</f>
        <v/>
      </c>
      <c r="I34" s="10" t="str">
        <f aca="false">IF(A34="","",IF(SUMPRODUCT(--EXACT($A$2:$A$201,A34))&gt;1,"Duplicate ID",IF(AND(B34&lt;&gt;"Measurement",B34&lt;&gt;"State or alarm"),"Kind must be Measurement or State or alarm",IF(SUMPRODUCT(--EXACT('2 Assets'!$A$2:$A$201,C34))=0,"Asset is not on the Assets sheet",IF(SUMPRODUCT(--EXACT('1 Measurement types'!$A$2:$A$201,D34))=0,"Not on the Measurement types sheet",IF(INDEX('1 Measurement types'!$B$2:$B$201,MATCH(D34,'1 Measurement types'!$A$2:$A$201,0))&lt;&gt;B34,"Kind does not match its measurement type",IF(AND(B34="Measurement",E34=""),"A measurement needs a unit",IF(AND(B34="Measurement",NOT(EXACT(E34,INDEX('1 Measurement types'!$C$2:$C$201,MATCH(D34,'1 Measurement types'!$A$2:$A$201,0))))),"Unit does not match its measurement type",IF(F34="","Give it a short name","ok")))))))))</f>
        <v/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10" t="str">
        <f aca="false">IF(A35="","",IF(SUMPRODUCT(--EXACT('3 Bindings'!$A$2:$A$201,A35))&gt;0,"yes","not yet"))</f>
        <v/>
      </c>
      <c r="I35" s="10" t="str">
        <f aca="false">IF(A35="","",IF(SUMPRODUCT(--EXACT($A$2:$A$201,A35))&gt;1,"Duplicate ID",IF(AND(B35&lt;&gt;"Measurement",B35&lt;&gt;"State or alarm"),"Kind must be Measurement or State or alarm",IF(SUMPRODUCT(--EXACT('2 Assets'!$A$2:$A$201,C35))=0,"Asset is not on the Assets sheet",IF(SUMPRODUCT(--EXACT('1 Measurement types'!$A$2:$A$201,D35))=0,"Not on the Measurement types sheet",IF(INDEX('1 Measurement types'!$B$2:$B$201,MATCH(D35,'1 Measurement types'!$A$2:$A$201,0))&lt;&gt;B35,"Kind does not match its measurement type",IF(AND(B35="Measurement",E35=""),"A measurement needs a unit",IF(AND(B35="Measurement",NOT(EXACT(E35,INDEX('1 Measurement types'!$C$2:$C$201,MATCH(D35,'1 Measurement types'!$A$2:$A$201,0))))),"Unit does not match its measurement type",IF(F35="","Give it a short name","ok")))))))))</f>
        <v/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10" t="str">
        <f aca="false">IF(A36="","",IF(SUMPRODUCT(--EXACT('3 Bindings'!$A$2:$A$201,A36))&gt;0,"yes","not yet"))</f>
        <v/>
      </c>
      <c r="I36" s="10" t="str">
        <f aca="false">IF(A36="","",IF(SUMPRODUCT(--EXACT($A$2:$A$201,A36))&gt;1,"Duplicate ID",IF(AND(B36&lt;&gt;"Measurement",B36&lt;&gt;"State or alarm"),"Kind must be Measurement or State or alarm",IF(SUMPRODUCT(--EXACT('2 Assets'!$A$2:$A$201,C36))=0,"Asset is not on the Assets sheet",IF(SUMPRODUCT(--EXACT('1 Measurement types'!$A$2:$A$201,D36))=0,"Not on the Measurement types sheet",IF(INDEX('1 Measurement types'!$B$2:$B$201,MATCH(D36,'1 Measurement types'!$A$2:$A$201,0))&lt;&gt;B36,"Kind does not match its measurement type",IF(AND(B36="Measurement",E36=""),"A measurement needs a unit",IF(AND(B36="Measurement",NOT(EXACT(E36,INDEX('1 Measurement types'!$C$2:$C$201,MATCH(D36,'1 Measurement types'!$A$2:$A$201,0))))),"Unit does not match its measurement type",IF(F36="","Give it a short name","ok")))))))))</f>
        <v/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10" t="str">
        <f aca="false">IF(A37="","",IF(SUMPRODUCT(--EXACT('3 Bindings'!$A$2:$A$201,A37))&gt;0,"yes","not yet"))</f>
        <v/>
      </c>
      <c r="I37" s="10" t="str">
        <f aca="false">IF(A37="","",IF(SUMPRODUCT(--EXACT($A$2:$A$201,A37))&gt;1,"Duplicate ID",IF(AND(B37&lt;&gt;"Measurement",B37&lt;&gt;"State or alarm"),"Kind must be Measurement or State or alarm",IF(SUMPRODUCT(--EXACT('2 Assets'!$A$2:$A$201,C37))=0,"Asset is not on the Assets sheet",IF(SUMPRODUCT(--EXACT('1 Measurement types'!$A$2:$A$201,D37))=0,"Not on the Measurement types sheet",IF(INDEX('1 Measurement types'!$B$2:$B$201,MATCH(D37,'1 Measurement types'!$A$2:$A$201,0))&lt;&gt;B37,"Kind does not match its measurement type",IF(AND(B37="Measurement",E37=""),"A measurement needs a unit",IF(AND(B37="Measurement",NOT(EXACT(E37,INDEX('1 Measurement types'!$C$2:$C$201,MATCH(D37,'1 Measurement types'!$A$2:$A$201,0))))),"Unit does not match its measurement type",IF(F37="","Give it a short name","ok")))))))))</f>
        <v/>
      </c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10" t="str">
        <f aca="false">IF(A38="","",IF(SUMPRODUCT(--EXACT('3 Bindings'!$A$2:$A$201,A38))&gt;0,"yes","not yet"))</f>
        <v/>
      </c>
      <c r="I38" s="10" t="str">
        <f aca="false">IF(A38="","",IF(SUMPRODUCT(--EXACT($A$2:$A$201,A38))&gt;1,"Duplicate ID",IF(AND(B38&lt;&gt;"Measurement",B38&lt;&gt;"State or alarm"),"Kind must be Measurement or State or alarm",IF(SUMPRODUCT(--EXACT('2 Assets'!$A$2:$A$201,C38))=0,"Asset is not on the Assets sheet",IF(SUMPRODUCT(--EXACT('1 Measurement types'!$A$2:$A$201,D38))=0,"Not on the Measurement types sheet",IF(INDEX('1 Measurement types'!$B$2:$B$201,MATCH(D38,'1 Measurement types'!$A$2:$A$201,0))&lt;&gt;B38,"Kind does not match its measurement type",IF(AND(B38="Measurement",E38=""),"A measurement needs a unit",IF(AND(B38="Measurement",NOT(EXACT(E38,INDEX('1 Measurement types'!$C$2:$C$201,MATCH(D38,'1 Measurement types'!$A$2:$A$201,0))))),"Unit does not match its measurement type",IF(F38="","Give it a short name","ok")))))))))</f>
        <v/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10" t="str">
        <f aca="false">IF(A39="","",IF(SUMPRODUCT(--EXACT('3 Bindings'!$A$2:$A$201,A39))&gt;0,"yes","not yet"))</f>
        <v/>
      </c>
      <c r="I39" s="10" t="str">
        <f aca="false">IF(A39="","",IF(SUMPRODUCT(--EXACT($A$2:$A$201,A39))&gt;1,"Duplicate ID",IF(AND(B39&lt;&gt;"Measurement",B39&lt;&gt;"State or alarm"),"Kind must be Measurement or State or alarm",IF(SUMPRODUCT(--EXACT('2 Assets'!$A$2:$A$201,C39))=0,"Asset is not on the Assets sheet",IF(SUMPRODUCT(--EXACT('1 Measurement types'!$A$2:$A$201,D39))=0,"Not on the Measurement types sheet",IF(INDEX('1 Measurement types'!$B$2:$B$201,MATCH(D39,'1 Measurement types'!$A$2:$A$201,0))&lt;&gt;B39,"Kind does not match its measurement type",IF(AND(B39="Measurement",E39=""),"A measurement needs a unit",IF(AND(B39="Measurement",NOT(EXACT(E39,INDEX('1 Measurement types'!$C$2:$C$201,MATCH(D39,'1 Measurement types'!$A$2:$A$201,0))))),"Unit does not match its measurement type",IF(F39="","Give it a short name","ok")))))))))</f>
        <v/>
      </c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10" t="str">
        <f aca="false">IF(A40="","",IF(SUMPRODUCT(--EXACT('3 Bindings'!$A$2:$A$201,A40))&gt;0,"yes","not yet"))</f>
        <v/>
      </c>
      <c r="I40" s="10" t="str">
        <f aca="false">IF(A40="","",IF(SUMPRODUCT(--EXACT($A$2:$A$201,A40))&gt;1,"Duplicate ID",IF(AND(B40&lt;&gt;"Measurement",B40&lt;&gt;"State or alarm"),"Kind must be Measurement or State or alarm",IF(SUMPRODUCT(--EXACT('2 Assets'!$A$2:$A$201,C40))=0,"Asset is not on the Assets sheet",IF(SUMPRODUCT(--EXACT('1 Measurement types'!$A$2:$A$201,D40))=0,"Not on the Measurement types sheet",IF(INDEX('1 Measurement types'!$B$2:$B$201,MATCH(D40,'1 Measurement types'!$A$2:$A$201,0))&lt;&gt;B40,"Kind does not match its measurement type",IF(AND(B40="Measurement",E40=""),"A measurement needs a unit",IF(AND(B40="Measurement",NOT(EXACT(E40,INDEX('1 Measurement types'!$C$2:$C$201,MATCH(D40,'1 Measurement types'!$A$2:$A$201,0))))),"Unit does not match its measurement type",IF(F40="","Give it a short name","ok")))))))))</f>
        <v/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10" t="str">
        <f aca="false">IF(A41="","",IF(SUMPRODUCT(--EXACT('3 Bindings'!$A$2:$A$201,A41))&gt;0,"yes","not yet"))</f>
        <v/>
      </c>
      <c r="I41" s="10" t="str">
        <f aca="false">IF(A41="","",IF(SUMPRODUCT(--EXACT($A$2:$A$201,A41))&gt;1,"Duplicate ID",IF(AND(B41&lt;&gt;"Measurement",B41&lt;&gt;"State or alarm"),"Kind must be Measurement or State or alarm",IF(SUMPRODUCT(--EXACT('2 Assets'!$A$2:$A$201,C41))=0,"Asset is not on the Assets sheet",IF(SUMPRODUCT(--EXACT('1 Measurement types'!$A$2:$A$201,D41))=0,"Not on the Measurement types sheet",IF(INDEX('1 Measurement types'!$B$2:$B$201,MATCH(D41,'1 Measurement types'!$A$2:$A$201,0))&lt;&gt;B41,"Kind does not match its measurement type",IF(AND(B41="Measurement",E41=""),"A measurement needs a unit",IF(AND(B41="Measurement",NOT(EXACT(E41,INDEX('1 Measurement types'!$C$2:$C$201,MATCH(D41,'1 Measurement types'!$A$2:$A$201,0))))),"Unit does not match its measurement type",IF(F41="","Give it a short name","ok")))))))))</f>
        <v/>
      </c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10" t="str">
        <f aca="false">IF(A42="","",IF(SUMPRODUCT(--EXACT('3 Bindings'!$A$2:$A$201,A42))&gt;0,"yes","not yet"))</f>
        <v/>
      </c>
      <c r="I42" s="10" t="str">
        <f aca="false">IF(A42="","",IF(SUMPRODUCT(--EXACT($A$2:$A$201,A42))&gt;1,"Duplicate ID",IF(AND(B42&lt;&gt;"Measurement",B42&lt;&gt;"State or alarm"),"Kind must be Measurement or State or alarm",IF(SUMPRODUCT(--EXACT('2 Assets'!$A$2:$A$201,C42))=0,"Asset is not on the Assets sheet",IF(SUMPRODUCT(--EXACT('1 Measurement types'!$A$2:$A$201,D42))=0,"Not on the Measurement types sheet",IF(INDEX('1 Measurement types'!$B$2:$B$201,MATCH(D42,'1 Measurement types'!$A$2:$A$201,0))&lt;&gt;B42,"Kind does not match its measurement type",IF(AND(B42="Measurement",E42=""),"A measurement needs a unit",IF(AND(B42="Measurement",NOT(EXACT(E42,INDEX('1 Measurement types'!$C$2:$C$201,MATCH(D42,'1 Measurement types'!$A$2:$A$201,0))))),"Unit does not match its measurement type",IF(F42="","Give it a short name","ok")))))))))</f>
        <v/>
      </c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10" t="str">
        <f aca="false">IF(A43="","",IF(SUMPRODUCT(--EXACT('3 Bindings'!$A$2:$A$201,A43))&gt;0,"yes","not yet"))</f>
        <v/>
      </c>
      <c r="I43" s="10" t="str">
        <f aca="false">IF(A43="","",IF(SUMPRODUCT(--EXACT($A$2:$A$201,A43))&gt;1,"Duplicate ID",IF(AND(B43&lt;&gt;"Measurement",B43&lt;&gt;"State or alarm"),"Kind must be Measurement or State or alarm",IF(SUMPRODUCT(--EXACT('2 Assets'!$A$2:$A$201,C43))=0,"Asset is not on the Assets sheet",IF(SUMPRODUCT(--EXACT('1 Measurement types'!$A$2:$A$201,D43))=0,"Not on the Measurement types sheet",IF(INDEX('1 Measurement types'!$B$2:$B$201,MATCH(D43,'1 Measurement types'!$A$2:$A$201,0))&lt;&gt;B43,"Kind does not match its measurement type",IF(AND(B43="Measurement",E43=""),"A measurement needs a unit",IF(AND(B43="Measurement",NOT(EXACT(E43,INDEX('1 Measurement types'!$C$2:$C$201,MATCH(D43,'1 Measurement types'!$A$2:$A$201,0))))),"Unit does not match its measurement type",IF(F43="","Give it a short name","ok")))))))))</f>
        <v/>
      </c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10" t="str">
        <f aca="false">IF(A44="","",IF(SUMPRODUCT(--EXACT('3 Bindings'!$A$2:$A$201,A44))&gt;0,"yes","not yet"))</f>
        <v/>
      </c>
      <c r="I44" s="10" t="str">
        <f aca="false">IF(A44="","",IF(SUMPRODUCT(--EXACT($A$2:$A$201,A44))&gt;1,"Duplicate ID",IF(AND(B44&lt;&gt;"Measurement",B44&lt;&gt;"State or alarm"),"Kind must be Measurement or State or alarm",IF(SUMPRODUCT(--EXACT('2 Assets'!$A$2:$A$201,C44))=0,"Asset is not on the Assets sheet",IF(SUMPRODUCT(--EXACT('1 Measurement types'!$A$2:$A$201,D44))=0,"Not on the Measurement types sheet",IF(INDEX('1 Measurement types'!$B$2:$B$201,MATCH(D44,'1 Measurement types'!$A$2:$A$201,0))&lt;&gt;B44,"Kind does not match its measurement type",IF(AND(B44="Measurement",E44=""),"A measurement needs a unit",IF(AND(B44="Measurement",NOT(EXACT(E44,INDEX('1 Measurement types'!$C$2:$C$201,MATCH(D44,'1 Measurement types'!$A$2:$A$201,0))))),"Unit does not match its measurement type",IF(F44="","Give it a short name","ok")))))))))</f>
        <v/>
      </c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10" t="str">
        <f aca="false">IF(A45="","",IF(SUMPRODUCT(--EXACT('3 Bindings'!$A$2:$A$201,A45))&gt;0,"yes","not yet"))</f>
        <v/>
      </c>
      <c r="I45" s="10" t="str">
        <f aca="false">IF(A45="","",IF(SUMPRODUCT(--EXACT($A$2:$A$201,A45))&gt;1,"Duplicate ID",IF(AND(B45&lt;&gt;"Measurement",B45&lt;&gt;"State or alarm"),"Kind must be Measurement or State or alarm",IF(SUMPRODUCT(--EXACT('2 Assets'!$A$2:$A$201,C45))=0,"Asset is not on the Assets sheet",IF(SUMPRODUCT(--EXACT('1 Measurement types'!$A$2:$A$201,D45))=0,"Not on the Measurement types sheet",IF(INDEX('1 Measurement types'!$B$2:$B$201,MATCH(D45,'1 Measurement types'!$A$2:$A$201,0))&lt;&gt;B45,"Kind does not match its measurement type",IF(AND(B45="Measurement",E45=""),"A measurement needs a unit",IF(AND(B45="Measurement",NOT(EXACT(E45,INDEX('1 Measurement types'!$C$2:$C$201,MATCH(D45,'1 Measurement types'!$A$2:$A$201,0))))),"Unit does not match its measurement type",IF(F45="","Give it a short name","ok")))))))))</f>
        <v/>
      </c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10" t="str">
        <f aca="false">IF(A46="","",IF(SUMPRODUCT(--EXACT('3 Bindings'!$A$2:$A$201,A46))&gt;0,"yes","not yet"))</f>
        <v/>
      </c>
      <c r="I46" s="10" t="str">
        <f aca="false">IF(A46="","",IF(SUMPRODUCT(--EXACT($A$2:$A$201,A46))&gt;1,"Duplicate ID",IF(AND(B46&lt;&gt;"Measurement",B46&lt;&gt;"State or alarm"),"Kind must be Measurement or State or alarm",IF(SUMPRODUCT(--EXACT('2 Assets'!$A$2:$A$201,C46))=0,"Asset is not on the Assets sheet",IF(SUMPRODUCT(--EXACT('1 Measurement types'!$A$2:$A$201,D46))=0,"Not on the Measurement types sheet",IF(INDEX('1 Measurement types'!$B$2:$B$201,MATCH(D46,'1 Measurement types'!$A$2:$A$201,0))&lt;&gt;B46,"Kind does not match its measurement type",IF(AND(B46="Measurement",E46=""),"A measurement needs a unit",IF(AND(B46="Measurement",NOT(EXACT(E46,INDEX('1 Measurement types'!$C$2:$C$201,MATCH(D46,'1 Measurement types'!$A$2:$A$201,0))))),"Unit does not match its measurement type",IF(F46="","Give it a short name","ok")))))))))</f>
        <v/>
      </c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10" t="str">
        <f aca="false">IF(A47="","",IF(SUMPRODUCT(--EXACT('3 Bindings'!$A$2:$A$201,A47))&gt;0,"yes","not yet"))</f>
        <v/>
      </c>
      <c r="I47" s="10" t="str">
        <f aca="false">IF(A47="","",IF(SUMPRODUCT(--EXACT($A$2:$A$201,A47))&gt;1,"Duplicate ID",IF(AND(B47&lt;&gt;"Measurement",B47&lt;&gt;"State or alarm"),"Kind must be Measurement or State or alarm",IF(SUMPRODUCT(--EXACT('2 Assets'!$A$2:$A$201,C47))=0,"Asset is not on the Assets sheet",IF(SUMPRODUCT(--EXACT('1 Measurement types'!$A$2:$A$201,D47))=0,"Not on the Measurement types sheet",IF(INDEX('1 Measurement types'!$B$2:$B$201,MATCH(D47,'1 Measurement types'!$A$2:$A$201,0))&lt;&gt;B47,"Kind does not match its measurement type",IF(AND(B47="Measurement",E47=""),"A measurement needs a unit",IF(AND(B47="Measurement",NOT(EXACT(E47,INDEX('1 Measurement types'!$C$2:$C$201,MATCH(D47,'1 Measurement types'!$A$2:$A$201,0))))),"Unit does not match its measurement type",IF(F47="","Give it a short name","ok")))))))))</f>
        <v/>
      </c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10" t="str">
        <f aca="false">IF(A48="","",IF(SUMPRODUCT(--EXACT('3 Bindings'!$A$2:$A$201,A48))&gt;0,"yes","not yet"))</f>
        <v/>
      </c>
      <c r="I48" s="10" t="str">
        <f aca="false">IF(A48="","",IF(SUMPRODUCT(--EXACT($A$2:$A$201,A48))&gt;1,"Duplicate ID",IF(AND(B48&lt;&gt;"Measurement",B48&lt;&gt;"State or alarm"),"Kind must be Measurement or State or alarm",IF(SUMPRODUCT(--EXACT('2 Assets'!$A$2:$A$201,C48))=0,"Asset is not on the Assets sheet",IF(SUMPRODUCT(--EXACT('1 Measurement types'!$A$2:$A$201,D48))=0,"Not on the Measurement types sheet",IF(INDEX('1 Measurement types'!$B$2:$B$201,MATCH(D48,'1 Measurement types'!$A$2:$A$201,0))&lt;&gt;B48,"Kind does not match its measurement type",IF(AND(B48="Measurement",E48=""),"A measurement needs a unit",IF(AND(B48="Measurement",NOT(EXACT(E48,INDEX('1 Measurement types'!$C$2:$C$201,MATCH(D48,'1 Measurement types'!$A$2:$A$201,0))))),"Unit does not match its measurement type",IF(F48="","Give it a short name","ok")))))))))</f>
        <v/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10" t="str">
        <f aca="false">IF(A49="","",IF(SUMPRODUCT(--EXACT('3 Bindings'!$A$2:$A$201,A49))&gt;0,"yes","not yet"))</f>
        <v/>
      </c>
      <c r="I49" s="10" t="str">
        <f aca="false">IF(A49="","",IF(SUMPRODUCT(--EXACT($A$2:$A$201,A49))&gt;1,"Duplicate ID",IF(AND(B49&lt;&gt;"Measurement",B49&lt;&gt;"State or alarm"),"Kind must be Measurement or State or alarm",IF(SUMPRODUCT(--EXACT('2 Assets'!$A$2:$A$201,C49))=0,"Asset is not on the Assets sheet",IF(SUMPRODUCT(--EXACT('1 Measurement types'!$A$2:$A$201,D49))=0,"Not on the Measurement types sheet",IF(INDEX('1 Measurement types'!$B$2:$B$201,MATCH(D49,'1 Measurement types'!$A$2:$A$201,0))&lt;&gt;B49,"Kind does not match its measurement type",IF(AND(B49="Measurement",E49=""),"A measurement needs a unit",IF(AND(B49="Measurement",NOT(EXACT(E49,INDEX('1 Measurement types'!$C$2:$C$201,MATCH(D49,'1 Measurement types'!$A$2:$A$201,0))))),"Unit does not match its measurement type",IF(F49="","Give it a short name","ok")))))))))</f>
        <v/>
      </c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10" t="str">
        <f aca="false">IF(A50="","",IF(SUMPRODUCT(--EXACT('3 Bindings'!$A$2:$A$201,A50))&gt;0,"yes","not yet"))</f>
        <v/>
      </c>
      <c r="I50" s="10" t="str">
        <f aca="false">IF(A50="","",IF(SUMPRODUCT(--EXACT($A$2:$A$201,A50))&gt;1,"Duplicate ID",IF(AND(B50&lt;&gt;"Measurement",B50&lt;&gt;"State or alarm"),"Kind must be Measurement or State or alarm",IF(SUMPRODUCT(--EXACT('2 Assets'!$A$2:$A$201,C50))=0,"Asset is not on the Assets sheet",IF(SUMPRODUCT(--EXACT('1 Measurement types'!$A$2:$A$201,D50))=0,"Not on the Measurement types sheet",IF(INDEX('1 Measurement types'!$B$2:$B$201,MATCH(D50,'1 Measurement types'!$A$2:$A$201,0))&lt;&gt;B50,"Kind does not match its measurement type",IF(AND(B50="Measurement",E50=""),"A measurement needs a unit",IF(AND(B50="Measurement",NOT(EXACT(E50,INDEX('1 Measurement types'!$C$2:$C$201,MATCH(D50,'1 Measurement types'!$A$2:$A$201,0))))),"Unit does not match its measurement type",IF(F50="","Give it a short name","ok")))))))))</f>
        <v/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10" t="str">
        <f aca="false">IF(A51="","",IF(SUMPRODUCT(--EXACT('3 Bindings'!$A$2:$A$201,A51))&gt;0,"yes","not yet"))</f>
        <v/>
      </c>
      <c r="I51" s="10" t="str">
        <f aca="false">IF(A51="","",IF(SUMPRODUCT(--EXACT($A$2:$A$201,A51))&gt;1,"Duplicate ID",IF(AND(B51&lt;&gt;"Measurement",B51&lt;&gt;"State or alarm"),"Kind must be Measurement or State or alarm",IF(SUMPRODUCT(--EXACT('2 Assets'!$A$2:$A$201,C51))=0,"Asset is not on the Assets sheet",IF(SUMPRODUCT(--EXACT('1 Measurement types'!$A$2:$A$201,D51))=0,"Not on the Measurement types sheet",IF(INDEX('1 Measurement types'!$B$2:$B$201,MATCH(D51,'1 Measurement types'!$A$2:$A$201,0))&lt;&gt;B51,"Kind does not match its measurement type",IF(AND(B51="Measurement",E51=""),"A measurement needs a unit",IF(AND(B51="Measurement",NOT(EXACT(E51,INDEX('1 Measurement types'!$C$2:$C$201,MATCH(D51,'1 Measurement types'!$A$2:$A$201,0))))),"Unit does not match its measurement type",IF(F51="","Give it a short name","ok")))))))))</f>
        <v/>
      </c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10" t="str">
        <f aca="false">IF(A52="","",IF(SUMPRODUCT(--EXACT('3 Bindings'!$A$2:$A$201,A52))&gt;0,"yes","not yet"))</f>
        <v/>
      </c>
      <c r="I52" s="10" t="str">
        <f aca="false">IF(A52="","",IF(SUMPRODUCT(--EXACT($A$2:$A$201,A52))&gt;1,"Duplicate ID",IF(AND(B52&lt;&gt;"Measurement",B52&lt;&gt;"State or alarm"),"Kind must be Measurement or State or alarm",IF(SUMPRODUCT(--EXACT('2 Assets'!$A$2:$A$201,C52))=0,"Asset is not on the Assets sheet",IF(SUMPRODUCT(--EXACT('1 Measurement types'!$A$2:$A$201,D52))=0,"Not on the Measurement types sheet",IF(INDEX('1 Measurement types'!$B$2:$B$201,MATCH(D52,'1 Measurement types'!$A$2:$A$201,0))&lt;&gt;B52,"Kind does not match its measurement type",IF(AND(B52="Measurement",E52=""),"A measurement needs a unit",IF(AND(B52="Measurement",NOT(EXACT(E52,INDEX('1 Measurement types'!$C$2:$C$201,MATCH(D52,'1 Measurement types'!$A$2:$A$201,0))))),"Unit does not match its measurement type",IF(F52="","Give it a short name","ok")))))))))</f>
        <v/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10" t="str">
        <f aca="false">IF(A53="","",IF(SUMPRODUCT(--EXACT('3 Bindings'!$A$2:$A$201,A53))&gt;0,"yes","not yet"))</f>
        <v/>
      </c>
      <c r="I53" s="10" t="str">
        <f aca="false">IF(A53="","",IF(SUMPRODUCT(--EXACT($A$2:$A$201,A53))&gt;1,"Duplicate ID",IF(AND(B53&lt;&gt;"Measurement",B53&lt;&gt;"State or alarm"),"Kind must be Measurement or State or alarm",IF(SUMPRODUCT(--EXACT('2 Assets'!$A$2:$A$201,C53))=0,"Asset is not on the Assets sheet",IF(SUMPRODUCT(--EXACT('1 Measurement types'!$A$2:$A$201,D53))=0,"Not on the Measurement types sheet",IF(INDEX('1 Measurement types'!$B$2:$B$201,MATCH(D53,'1 Measurement types'!$A$2:$A$201,0))&lt;&gt;B53,"Kind does not match its measurement type",IF(AND(B53="Measurement",E53=""),"A measurement needs a unit",IF(AND(B53="Measurement",NOT(EXACT(E53,INDEX('1 Measurement types'!$C$2:$C$201,MATCH(D53,'1 Measurement types'!$A$2:$A$201,0))))),"Unit does not match its measurement type",IF(F53="","Give it a short name","ok")))))))))</f>
        <v/>
      </c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10" t="str">
        <f aca="false">IF(A54="","",IF(SUMPRODUCT(--EXACT('3 Bindings'!$A$2:$A$201,A54))&gt;0,"yes","not yet"))</f>
        <v/>
      </c>
      <c r="I54" s="10" t="str">
        <f aca="false">IF(A54="","",IF(SUMPRODUCT(--EXACT($A$2:$A$201,A54))&gt;1,"Duplicate ID",IF(AND(B54&lt;&gt;"Measurement",B54&lt;&gt;"State or alarm"),"Kind must be Measurement or State or alarm",IF(SUMPRODUCT(--EXACT('2 Assets'!$A$2:$A$201,C54))=0,"Asset is not on the Assets sheet",IF(SUMPRODUCT(--EXACT('1 Measurement types'!$A$2:$A$201,D54))=0,"Not on the Measurement types sheet",IF(INDEX('1 Measurement types'!$B$2:$B$201,MATCH(D54,'1 Measurement types'!$A$2:$A$201,0))&lt;&gt;B54,"Kind does not match its measurement type",IF(AND(B54="Measurement",E54=""),"A measurement needs a unit",IF(AND(B54="Measurement",NOT(EXACT(E54,INDEX('1 Measurement types'!$C$2:$C$201,MATCH(D54,'1 Measurement types'!$A$2:$A$201,0))))),"Unit does not match its measurement type",IF(F54="","Give it a short name","ok")))))))))</f>
        <v/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10" t="str">
        <f aca="false">IF(A55="","",IF(SUMPRODUCT(--EXACT('3 Bindings'!$A$2:$A$201,A55))&gt;0,"yes","not yet"))</f>
        <v/>
      </c>
      <c r="I55" s="10" t="str">
        <f aca="false">IF(A55="","",IF(SUMPRODUCT(--EXACT($A$2:$A$201,A55))&gt;1,"Duplicate ID",IF(AND(B55&lt;&gt;"Measurement",B55&lt;&gt;"State or alarm"),"Kind must be Measurement or State or alarm",IF(SUMPRODUCT(--EXACT('2 Assets'!$A$2:$A$201,C55))=0,"Asset is not on the Assets sheet",IF(SUMPRODUCT(--EXACT('1 Measurement types'!$A$2:$A$201,D55))=0,"Not on the Measurement types sheet",IF(INDEX('1 Measurement types'!$B$2:$B$201,MATCH(D55,'1 Measurement types'!$A$2:$A$201,0))&lt;&gt;B55,"Kind does not match its measurement type",IF(AND(B55="Measurement",E55=""),"A measurement needs a unit",IF(AND(B55="Measurement",NOT(EXACT(E55,INDEX('1 Measurement types'!$C$2:$C$201,MATCH(D55,'1 Measurement types'!$A$2:$A$201,0))))),"Unit does not match its measurement type",IF(F55="","Give it a short name","ok")))))))))</f>
        <v/>
      </c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10" t="str">
        <f aca="false">IF(A56="","",IF(SUMPRODUCT(--EXACT('3 Bindings'!$A$2:$A$201,A56))&gt;0,"yes","not yet"))</f>
        <v/>
      </c>
      <c r="I56" s="10" t="str">
        <f aca="false">IF(A56="","",IF(SUMPRODUCT(--EXACT($A$2:$A$201,A56))&gt;1,"Duplicate ID",IF(AND(B56&lt;&gt;"Measurement",B56&lt;&gt;"State or alarm"),"Kind must be Measurement or State or alarm",IF(SUMPRODUCT(--EXACT('2 Assets'!$A$2:$A$201,C56))=0,"Asset is not on the Assets sheet",IF(SUMPRODUCT(--EXACT('1 Measurement types'!$A$2:$A$201,D56))=0,"Not on the Measurement types sheet",IF(INDEX('1 Measurement types'!$B$2:$B$201,MATCH(D56,'1 Measurement types'!$A$2:$A$201,0))&lt;&gt;B56,"Kind does not match its measurement type",IF(AND(B56="Measurement",E56=""),"A measurement needs a unit",IF(AND(B56="Measurement",NOT(EXACT(E56,INDEX('1 Measurement types'!$C$2:$C$201,MATCH(D56,'1 Measurement types'!$A$2:$A$201,0))))),"Unit does not match its measurement type",IF(F56="","Give it a short name","ok")))))))))</f>
        <v/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10" t="str">
        <f aca="false">IF(A57="","",IF(SUMPRODUCT(--EXACT('3 Bindings'!$A$2:$A$201,A57))&gt;0,"yes","not yet"))</f>
        <v/>
      </c>
      <c r="I57" s="10" t="str">
        <f aca="false">IF(A57="","",IF(SUMPRODUCT(--EXACT($A$2:$A$201,A57))&gt;1,"Duplicate ID",IF(AND(B57&lt;&gt;"Measurement",B57&lt;&gt;"State or alarm"),"Kind must be Measurement or State or alarm",IF(SUMPRODUCT(--EXACT('2 Assets'!$A$2:$A$201,C57))=0,"Asset is not on the Assets sheet",IF(SUMPRODUCT(--EXACT('1 Measurement types'!$A$2:$A$201,D57))=0,"Not on the Measurement types sheet",IF(INDEX('1 Measurement types'!$B$2:$B$201,MATCH(D57,'1 Measurement types'!$A$2:$A$201,0))&lt;&gt;B57,"Kind does not match its measurement type",IF(AND(B57="Measurement",E57=""),"A measurement needs a unit",IF(AND(B57="Measurement",NOT(EXACT(E57,INDEX('1 Measurement types'!$C$2:$C$201,MATCH(D57,'1 Measurement types'!$A$2:$A$201,0))))),"Unit does not match its measurement type",IF(F57="","Give it a short name","ok")))))))))</f>
        <v/>
      </c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10" t="str">
        <f aca="false">IF(A58="","",IF(SUMPRODUCT(--EXACT('3 Bindings'!$A$2:$A$201,A58))&gt;0,"yes","not yet"))</f>
        <v/>
      </c>
      <c r="I58" s="10" t="str">
        <f aca="false">IF(A58="","",IF(SUMPRODUCT(--EXACT($A$2:$A$201,A58))&gt;1,"Duplicate ID",IF(AND(B58&lt;&gt;"Measurement",B58&lt;&gt;"State or alarm"),"Kind must be Measurement or State or alarm",IF(SUMPRODUCT(--EXACT('2 Assets'!$A$2:$A$201,C58))=0,"Asset is not on the Assets sheet",IF(SUMPRODUCT(--EXACT('1 Measurement types'!$A$2:$A$201,D58))=0,"Not on the Measurement types sheet",IF(INDEX('1 Measurement types'!$B$2:$B$201,MATCH(D58,'1 Measurement types'!$A$2:$A$201,0))&lt;&gt;B58,"Kind does not match its measurement type",IF(AND(B58="Measurement",E58=""),"A measurement needs a unit",IF(AND(B58="Measurement",NOT(EXACT(E58,INDEX('1 Measurement types'!$C$2:$C$201,MATCH(D58,'1 Measurement types'!$A$2:$A$201,0))))),"Unit does not match its measurement type",IF(F58="","Give it a short name","ok")))))))))</f>
        <v/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10" t="str">
        <f aca="false">IF(A59="","",IF(SUMPRODUCT(--EXACT('3 Bindings'!$A$2:$A$201,A59))&gt;0,"yes","not yet"))</f>
        <v/>
      </c>
      <c r="I59" s="10" t="str">
        <f aca="false">IF(A59="","",IF(SUMPRODUCT(--EXACT($A$2:$A$201,A59))&gt;1,"Duplicate ID",IF(AND(B59&lt;&gt;"Measurement",B59&lt;&gt;"State or alarm"),"Kind must be Measurement or State or alarm",IF(SUMPRODUCT(--EXACT('2 Assets'!$A$2:$A$201,C59))=0,"Asset is not on the Assets sheet",IF(SUMPRODUCT(--EXACT('1 Measurement types'!$A$2:$A$201,D59))=0,"Not on the Measurement types sheet",IF(INDEX('1 Measurement types'!$B$2:$B$201,MATCH(D59,'1 Measurement types'!$A$2:$A$201,0))&lt;&gt;B59,"Kind does not match its measurement type",IF(AND(B59="Measurement",E59=""),"A measurement needs a unit",IF(AND(B59="Measurement",NOT(EXACT(E59,INDEX('1 Measurement types'!$C$2:$C$201,MATCH(D59,'1 Measurement types'!$A$2:$A$201,0))))),"Unit does not match its measurement type",IF(F59="","Give it a short name","ok")))))))))</f>
        <v/>
      </c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10" t="str">
        <f aca="false">IF(A60="","",IF(SUMPRODUCT(--EXACT('3 Bindings'!$A$2:$A$201,A60))&gt;0,"yes","not yet"))</f>
        <v/>
      </c>
      <c r="I60" s="10" t="str">
        <f aca="false">IF(A60="","",IF(SUMPRODUCT(--EXACT($A$2:$A$201,A60))&gt;1,"Duplicate ID",IF(AND(B60&lt;&gt;"Measurement",B60&lt;&gt;"State or alarm"),"Kind must be Measurement or State or alarm",IF(SUMPRODUCT(--EXACT('2 Assets'!$A$2:$A$201,C60))=0,"Asset is not on the Assets sheet",IF(SUMPRODUCT(--EXACT('1 Measurement types'!$A$2:$A$201,D60))=0,"Not on the Measurement types sheet",IF(INDEX('1 Measurement types'!$B$2:$B$201,MATCH(D60,'1 Measurement types'!$A$2:$A$201,0))&lt;&gt;B60,"Kind does not match its measurement type",IF(AND(B60="Measurement",E60=""),"A measurement needs a unit",IF(AND(B60="Measurement",NOT(EXACT(E60,INDEX('1 Measurement types'!$C$2:$C$201,MATCH(D60,'1 Measurement types'!$A$2:$A$201,0))))),"Unit does not match its measurement type",IF(F60="","Give it a short name","ok")))))))))</f>
        <v/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10" t="str">
        <f aca="false">IF(A61="","",IF(SUMPRODUCT(--EXACT('3 Bindings'!$A$2:$A$201,A61))&gt;0,"yes","not yet"))</f>
        <v/>
      </c>
      <c r="I61" s="10" t="str">
        <f aca="false">IF(A61="","",IF(SUMPRODUCT(--EXACT($A$2:$A$201,A61))&gt;1,"Duplicate ID",IF(AND(B61&lt;&gt;"Measurement",B61&lt;&gt;"State or alarm"),"Kind must be Measurement or State or alarm",IF(SUMPRODUCT(--EXACT('2 Assets'!$A$2:$A$201,C61))=0,"Asset is not on the Assets sheet",IF(SUMPRODUCT(--EXACT('1 Measurement types'!$A$2:$A$201,D61))=0,"Not on the Measurement types sheet",IF(INDEX('1 Measurement types'!$B$2:$B$201,MATCH(D61,'1 Measurement types'!$A$2:$A$201,0))&lt;&gt;B61,"Kind does not match its measurement type",IF(AND(B61="Measurement",E61=""),"A measurement needs a unit",IF(AND(B61="Measurement",NOT(EXACT(E61,INDEX('1 Measurement types'!$C$2:$C$201,MATCH(D61,'1 Measurement types'!$A$2:$A$201,0))))),"Unit does not match its measurement type",IF(F61="","Give it a short name","ok")))))))))</f>
        <v/>
      </c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10" t="str">
        <f aca="false">IF(A62="","",IF(SUMPRODUCT(--EXACT('3 Bindings'!$A$2:$A$201,A62))&gt;0,"yes","not yet"))</f>
        <v/>
      </c>
      <c r="I62" s="10" t="str">
        <f aca="false">IF(A62="","",IF(SUMPRODUCT(--EXACT($A$2:$A$201,A62))&gt;1,"Duplicate ID",IF(AND(B62&lt;&gt;"Measurement",B62&lt;&gt;"State or alarm"),"Kind must be Measurement or State or alarm",IF(SUMPRODUCT(--EXACT('2 Assets'!$A$2:$A$201,C62))=0,"Asset is not on the Assets sheet",IF(SUMPRODUCT(--EXACT('1 Measurement types'!$A$2:$A$201,D62))=0,"Not on the Measurement types sheet",IF(INDEX('1 Measurement types'!$B$2:$B$201,MATCH(D62,'1 Measurement types'!$A$2:$A$201,0))&lt;&gt;B62,"Kind does not match its measurement type",IF(AND(B62="Measurement",E62=""),"A measurement needs a unit",IF(AND(B62="Measurement",NOT(EXACT(E62,INDEX('1 Measurement types'!$C$2:$C$201,MATCH(D62,'1 Measurement types'!$A$2:$A$201,0))))),"Unit does not match its measurement type",IF(F62="","Give it a short name","ok")))))))))</f>
        <v/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10" t="str">
        <f aca="false">IF(A63="","",IF(SUMPRODUCT(--EXACT('3 Bindings'!$A$2:$A$201,A63))&gt;0,"yes","not yet"))</f>
        <v/>
      </c>
      <c r="I63" s="10" t="str">
        <f aca="false">IF(A63="","",IF(SUMPRODUCT(--EXACT($A$2:$A$201,A63))&gt;1,"Duplicate ID",IF(AND(B63&lt;&gt;"Measurement",B63&lt;&gt;"State or alarm"),"Kind must be Measurement or State or alarm",IF(SUMPRODUCT(--EXACT('2 Assets'!$A$2:$A$201,C63))=0,"Asset is not on the Assets sheet",IF(SUMPRODUCT(--EXACT('1 Measurement types'!$A$2:$A$201,D63))=0,"Not on the Measurement types sheet",IF(INDEX('1 Measurement types'!$B$2:$B$201,MATCH(D63,'1 Measurement types'!$A$2:$A$201,0))&lt;&gt;B63,"Kind does not match its measurement type",IF(AND(B63="Measurement",E63=""),"A measurement needs a unit",IF(AND(B63="Measurement",NOT(EXACT(E63,INDEX('1 Measurement types'!$C$2:$C$201,MATCH(D63,'1 Measurement types'!$A$2:$A$201,0))))),"Unit does not match its measurement type",IF(F63="","Give it a short name","ok")))))))))</f>
        <v/>
      </c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10" t="str">
        <f aca="false">IF(A64="","",IF(SUMPRODUCT(--EXACT('3 Bindings'!$A$2:$A$201,A64))&gt;0,"yes","not yet"))</f>
        <v/>
      </c>
      <c r="I64" s="10" t="str">
        <f aca="false">IF(A64="","",IF(SUMPRODUCT(--EXACT($A$2:$A$201,A64))&gt;1,"Duplicate ID",IF(AND(B64&lt;&gt;"Measurement",B64&lt;&gt;"State or alarm"),"Kind must be Measurement or State or alarm",IF(SUMPRODUCT(--EXACT('2 Assets'!$A$2:$A$201,C64))=0,"Asset is not on the Assets sheet",IF(SUMPRODUCT(--EXACT('1 Measurement types'!$A$2:$A$201,D64))=0,"Not on the Measurement types sheet",IF(INDEX('1 Measurement types'!$B$2:$B$201,MATCH(D64,'1 Measurement types'!$A$2:$A$201,0))&lt;&gt;B64,"Kind does not match its measurement type",IF(AND(B64="Measurement",E64=""),"A measurement needs a unit",IF(AND(B64="Measurement",NOT(EXACT(E64,INDEX('1 Measurement types'!$C$2:$C$201,MATCH(D64,'1 Measurement types'!$A$2:$A$201,0))))),"Unit does not match its measurement type",IF(F64="","Give it a short name","ok")))))))))</f>
        <v/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10" t="str">
        <f aca="false">IF(A65="","",IF(SUMPRODUCT(--EXACT('3 Bindings'!$A$2:$A$201,A65))&gt;0,"yes","not yet"))</f>
        <v/>
      </c>
      <c r="I65" s="10" t="str">
        <f aca="false">IF(A65="","",IF(SUMPRODUCT(--EXACT($A$2:$A$201,A65))&gt;1,"Duplicate ID",IF(AND(B65&lt;&gt;"Measurement",B65&lt;&gt;"State or alarm"),"Kind must be Measurement or State or alarm",IF(SUMPRODUCT(--EXACT('2 Assets'!$A$2:$A$201,C65))=0,"Asset is not on the Assets sheet",IF(SUMPRODUCT(--EXACT('1 Measurement types'!$A$2:$A$201,D65))=0,"Not on the Measurement types sheet",IF(INDEX('1 Measurement types'!$B$2:$B$201,MATCH(D65,'1 Measurement types'!$A$2:$A$201,0))&lt;&gt;B65,"Kind does not match its measurement type",IF(AND(B65="Measurement",E65=""),"A measurement needs a unit",IF(AND(B65="Measurement",NOT(EXACT(E65,INDEX('1 Measurement types'!$C$2:$C$201,MATCH(D65,'1 Measurement types'!$A$2:$A$201,0))))),"Unit does not match its measurement type",IF(F65="","Give it a short name","ok")))))))))</f>
        <v/>
      </c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10" t="str">
        <f aca="false">IF(A66="","",IF(SUMPRODUCT(--EXACT('3 Bindings'!$A$2:$A$201,A66))&gt;0,"yes","not yet"))</f>
        <v/>
      </c>
      <c r="I66" s="10" t="str">
        <f aca="false">IF(A66="","",IF(SUMPRODUCT(--EXACT($A$2:$A$201,A66))&gt;1,"Duplicate ID",IF(AND(B66&lt;&gt;"Measurement",B66&lt;&gt;"State or alarm"),"Kind must be Measurement or State or alarm",IF(SUMPRODUCT(--EXACT('2 Assets'!$A$2:$A$201,C66))=0,"Asset is not on the Assets sheet",IF(SUMPRODUCT(--EXACT('1 Measurement types'!$A$2:$A$201,D66))=0,"Not on the Measurement types sheet",IF(INDEX('1 Measurement types'!$B$2:$B$201,MATCH(D66,'1 Measurement types'!$A$2:$A$201,0))&lt;&gt;B66,"Kind does not match its measurement type",IF(AND(B66="Measurement",E66=""),"A measurement needs a unit",IF(AND(B66="Measurement",NOT(EXACT(E66,INDEX('1 Measurement types'!$C$2:$C$201,MATCH(D66,'1 Measurement types'!$A$2:$A$201,0))))),"Unit does not match its measurement type",IF(F66="","Give it a short name","ok")))))))))</f>
        <v/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10" t="str">
        <f aca="false">IF(A67="","",IF(SUMPRODUCT(--EXACT('3 Bindings'!$A$2:$A$201,A67))&gt;0,"yes","not yet"))</f>
        <v/>
      </c>
      <c r="I67" s="10" t="str">
        <f aca="false">IF(A67="","",IF(SUMPRODUCT(--EXACT($A$2:$A$201,A67))&gt;1,"Duplicate ID",IF(AND(B67&lt;&gt;"Measurement",B67&lt;&gt;"State or alarm"),"Kind must be Measurement or State or alarm",IF(SUMPRODUCT(--EXACT('2 Assets'!$A$2:$A$201,C67))=0,"Asset is not on the Assets sheet",IF(SUMPRODUCT(--EXACT('1 Measurement types'!$A$2:$A$201,D67))=0,"Not on the Measurement types sheet",IF(INDEX('1 Measurement types'!$B$2:$B$201,MATCH(D67,'1 Measurement types'!$A$2:$A$201,0))&lt;&gt;B67,"Kind does not match its measurement type",IF(AND(B67="Measurement",E67=""),"A measurement needs a unit",IF(AND(B67="Measurement",NOT(EXACT(E67,INDEX('1 Measurement types'!$C$2:$C$201,MATCH(D67,'1 Measurement types'!$A$2:$A$201,0))))),"Unit does not match its measurement type",IF(F67="","Give it a short name","ok")))))))))</f>
        <v/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10" t="str">
        <f aca="false">IF(A68="","",IF(SUMPRODUCT(--EXACT('3 Bindings'!$A$2:$A$201,A68))&gt;0,"yes","not yet"))</f>
        <v/>
      </c>
      <c r="I68" s="10" t="str">
        <f aca="false">IF(A68="","",IF(SUMPRODUCT(--EXACT($A$2:$A$201,A68))&gt;1,"Duplicate ID",IF(AND(B68&lt;&gt;"Measurement",B68&lt;&gt;"State or alarm"),"Kind must be Measurement or State or alarm",IF(SUMPRODUCT(--EXACT('2 Assets'!$A$2:$A$201,C68))=0,"Asset is not on the Assets sheet",IF(SUMPRODUCT(--EXACT('1 Measurement types'!$A$2:$A$201,D68))=0,"Not on the Measurement types sheet",IF(INDEX('1 Measurement types'!$B$2:$B$201,MATCH(D68,'1 Measurement types'!$A$2:$A$201,0))&lt;&gt;B68,"Kind does not match its measurement type",IF(AND(B68="Measurement",E68=""),"A measurement needs a unit",IF(AND(B68="Measurement",NOT(EXACT(E68,INDEX('1 Measurement types'!$C$2:$C$201,MATCH(D68,'1 Measurement types'!$A$2:$A$201,0))))),"Unit does not match its measurement type",IF(F68="","Give it a short name","ok")))))))))</f>
        <v/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10" t="str">
        <f aca="false">IF(A69="","",IF(SUMPRODUCT(--EXACT('3 Bindings'!$A$2:$A$201,A69))&gt;0,"yes","not yet"))</f>
        <v/>
      </c>
      <c r="I69" s="10" t="str">
        <f aca="false">IF(A69="","",IF(SUMPRODUCT(--EXACT($A$2:$A$201,A69))&gt;1,"Duplicate ID",IF(AND(B69&lt;&gt;"Measurement",B69&lt;&gt;"State or alarm"),"Kind must be Measurement or State or alarm",IF(SUMPRODUCT(--EXACT('2 Assets'!$A$2:$A$201,C69))=0,"Asset is not on the Assets sheet",IF(SUMPRODUCT(--EXACT('1 Measurement types'!$A$2:$A$201,D69))=0,"Not on the Measurement types sheet",IF(INDEX('1 Measurement types'!$B$2:$B$201,MATCH(D69,'1 Measurement types'!$A$2:$A$201,0))&lt;&gt;B69,"Kind does not match its measurement type",IF(AND(B69="Measurement",E69=""),"A measurement needs a unit",IF(AND(B69="Measurement",NOT(EXACT(E69,INDEX('1 Measurement types'!$C$2:$C$201,MATCH(D69,'1 Measurement types'!$A$2:$A$201,0))))),"Unit does not match its measurement type",IF(F69="","Give it a short name","ok")))))))))</f>
        <v/>
      </c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10" t="str">
        <f aca="false">IF(A70="","",IF(SUMPRODUCT(--EXACT('3 Bindings'!$A$2:$A$201,A70))&gt;0,"yes","not yet"))</f>
        <v/>
      </c>
      <c r="I70" s="10" t="str">
        <f aca="false">IF(A70="","",IF(SUMPRODUCT(--EXACT($A$2:$A$201,A70))&gt;1,"Duplicate ID",IF(AND(B70&lt;&gt;"Measurement",B70&lt;&gt;"State or alarm"),"Kind must be Measurement or State or alarm",IF(SUMPRODUCT(--EXACT('2 Assets'!$A$2:$A$201,C70))=0,"Asset is not on the Assets sheet",IF(SUMPRODUCT(--EXACT('1 Measurement types'!$A$2:$A$201,D70))=0,"Not on the Measurement types sheet",IF(INDEX('1 Measurement types'!$B$2:$B$201,MATCH(D70,'1 Measurement types'!$A$2:$A$201,0))&lt;&gt;B70,"Kind does not match its measurement type",IF(AND(B70="Measurement",E70=""),"A measurement needs a unit",IF(AND(B70="Measurement",NOT(EXACT(E70,INDEX('1 Measurement types'!$C$2:$C$201,MATCH(D70,'1 Measurement types'!$A$2:$A$201,0))))),"Unit does not match its measurement type",IF(F70="","Give it a short name","ok")))))))))</f>
        <v/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10" t="str">
        <f aca="false">IF(A71="","",IF(SUMPRODUCT(--EXACT('3 Bindings'!$A$2:$A$201,A71))&gt;0,"yes","not yet"))</f>
        <v/>
      </c>
      <c r="I71" s="10" t="str">
        <f aca="false">IF(A71="","",IF(SUMPRODUCT(--EXACT($A$2:$A$201,A71))&gt;1,"Duplicate ID",IF(AND(B71&lt;&gt;"Measurement",B71&lt;&gt;"State or alarm"),"Kind must be Measurement or State or alarm",IF(SUMPRODUCT(--EXACT('2 Assets'!$A$2:$A$201,C71))=0,"Asset is not on the Assets sheet",IF(SUMPRODUCT(--EXACT('1 Measurement types'!$A$2:$A$201,D71))=0,"Not on the Measurement types sheet",IF(INDEX('1 Measurement types'!$B$2:$B$201,MATCH(D71,'1 Measurement types'!$A$2:$A$201,0))&lt;&gt;B71,"Kind does not match its measurement type",IF(AND(B71="Measurement",E71=""),"A measurement needs a unit",IF(AND(B71="Measurement",NOT(EXACT(E71,INDEX('1 Measurement types'!$C$2:$C$201,MATCH(D71,'1 Measurement types'!$A$2:$A$201,0))))),"Unit does not match its measurement type",IF(F71="","Give it a short name","ok")))))))))</f>
        <v/>
      </c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10" t="str">
        <f aca="false">IF(A72="","",IF(SUMPRODUCT(--EXACT('3 Bindings'!$A$2:$A$201,A72))&gt;0,"yes","not yet"))</f>
        <v/>
      </c>
      <c r="I72" s="10" t="str">
        <f aca="false">IF(A72="","",IF(SUMPRODUCT(--EXACT($A$2:$A$201,A72))&gt;1,"Duplicate ID",IF(AND(B72&lt;&gt;"Measurement",B72&lt;&gt;"State or alarm"),"Kind must be Measurement or State or alarm",IF(SUMPRODUCT(--EXACT('2 Assets'!$A$2:$A$201,C72))=0,"Asset is not on the Assets sheet",IF(SUMPRODUCT(--EXACT('1 Measurement types'!$A$2:$A$201,D72))=0,"Not on the Measurement types sheet",IF(INDEX('1 Measurement types'!$B$2:$B$201,MATCH(D72,'1 Measurement types'!$A$2:$A$201,0))&lt;&gt;B72,"Kind does not match its measurement type",IF(AND(B72="Measurement",E72=""),"A measurement needs a unit",IF(AND(B72="Measurement",NOT(EXACT(E72,INDEX('1 Measurement types'!$C$2:$C$201,MATCH(D72,'1 Measurement types'!$A$2:$A$201,0))))),"Unit does not match its measurement type",IF(F72="","Give it a short name","ok")))))))))</f>
        <v/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10" t="str">
        <f aca="false">IF(A73="","",IF(SUMPRODUCT(--EXACT('3 Bindings'!$A$2:$A$201,A73))&gt;0,"yes","not yet"))</f>
        <v/>
      </c>
      <c r="I73" s="10" t="str">
        <f aca="false">IF(A73="","",IF(SUMPRODUCT(--EXACT($A$2:$A$201,A73))&gt;1,"Duplicate ID",IF(AND(B73&lt;&gt;"Measurement",B73&lt;&gt;"State or alarm"),"Kind must be Measurement or State or alarm",IF(SUMPRODUCT(--EXACT('2 Assets'!$A$2:$A$201,C73))=0,"Asset is not on the Assets sheet",IF(SUMPRODUCT(--EXACT('1 Measurement types'!$A$2:$A$201,D73))=0,"Not on the Measurement types sheet",IF(INDEX('1 Measurement types'!$B$2:$B$201,MATCH(D73,'1 Measurement types'!$A$2:$A$201,0))&lt;&gt;B73,"Kind does not match its measurement type",IF(AND(B73="Measurement",E73=""),"A measurement needs a unit",IF(AND(B73="Measurement",NOT(EXACT(E73,INDEX('1 Measurement types'!$C$2:$C$201,MATCH(D73,'1 Measurement types'!$A$2:$A$201,0))))),"Unit does not match its measurement type",IF(F73="","Give it a short name","ok")))))))))</f>
        <v/>
      </c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10" t="str">
        <f aca="false">IF(A74="","",IF(SUMPRODUCT(--EXACT('3 Bindings'!$A$2:$A$201,A74))&gt;0,"yes","not yet"))</f>
        <v/>
      </c>
      <c r="I74" s="10" t="str">
        <f aca="false">IF(A74="","",IF(SUMPRODUCT(--EXACT($A$2:$A$201,A74))&gt;1,"Duplicate ID",IF(AND(B74&lt;&gt;"Measurement",B74&lt;&gt;"State or alarm"),"Kind must be Measurement or State or alarm",IF(SUMPRODUCT(--EXACT('2 Assets'!$A$2:$A$201,C74))=0,"Asset is not on the Assets sheet",IF(SUMPRODUCT(--EXACT('1 Measurement types'!$A$2:$A$201,D74))=0,"Not on the Measurement types sheet",IF(INDEX('1 Measurement types'!$B$2:$B$201,MATCH(D74,'1 Measurement types'!$A$2:$A$201,0))&lt;&gt;B74,"Kind does not match its measurement type",IF(AND(B74="Measurement",E74=""),"A measurement needs a unit",IF(AND(B74="Measurement",NOT(EXACT(E74,INDEX('1 Measurement types'!$C$2:$C$201,MATCH(D74,'1 Measurement types'!$A$2:$A$201,0))))),"Unit does not match its measurement type",IF(F74="","Give it a short name","ok")))))))))</f>
        <v/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10" t="str">
        <f aca="false">IF(A75="","",IF(SUMPRODUCT(--EXACT('3 Bindings'!$A$2:$A$201,A75))&gt;0,"yes","not yet"))</f>
        <v/>
      </c>
      <c r="I75" s="10" t="str">
        <f aca="false">IF(A75="","",IF(SUMPRODUCT(--EXACT($A$2:$A$201,A75))&gt;1,"Duplicate ID",IF(AND(B75&lt;&gt;"Measurement",B75&lt;&gt;"State or alarm"),"Kind must be Measurement or State or alarm",IF(SUMPRODUCT(--EXACT('2 Assets'!$A$2:$A$201,C75))=0,"Asset is not on the Assets sheet",IF(SUMPRODUCT(--EXACT('1 Measurement types'!$A$2:$A$201,D75))=0,"Not on the Measurement types sheet",IF(INDEX('1 Measurement types'!$B$2:$B$201,MATCH(D75,'1 Measurement types'!$A$2:$A$201,0))&lt;&gt;B75,"Kind does not match its measurement type",IF(AND(B75="Measurement",E75=""),"A measurement needs a unit",IF(AND(B75="Measurement",NOT(EXACT(E75,INDEX('1 Measurement types'!$C$2:$C$201,MATCH(D75,'1 Measurement types'!$A$2:$A$201,0))))),"Unit does not match its measurement type",IF(F75="","Give it a short name","ok")))))))))</f>
        <v/>
      </c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10" t="str">
        <f aca="false">IF(A76="","",IF(SUMPRODUCT(--EXACT('3 Bindings'!$A$2:$A$201,A76))&gt;0,"yes","not yet"))</f>
        <v/>
      </c>
      <c r="I76" s="10" t="str">
        <f aca="false">IF(A76="","",IF(SUMPRODUCT(--EXACT($A$2:$A$201,A76))&gt;1,"Duplicate ID",IF(AND(B76&lt;&gt;"Measurement",B76&lt;&gt;"State or alarm"),"Kind must be Measurement or State or alarm",IF(SUMPRODUCT(--EXACT('2 Assets'!$A$2:$A$201,C76))=0,"Asset is not on the Assets sheet",IF(SUMPRODUCT(--EXACT('1 Measurement types'!$A$2:$A$201,D76))=0,"Not on the Measurement types sheet",IF(INDEX('1 Measurement types'!$B$2:$B$201,MATCH(D76,'1 Measurement types'!$A$2:$A$201,0))&lt;&gt;B76,"Kind does not match its measurement type",IF(AND(B76="Measurement",E76=""),"A measurement needs a unit",IF(AND(B76="Measurement",NOT(EXACT(E76,INDEX('1 Measurement types'!$C$2:$C$201,MATCH(D76,'1 Measurement types'!$A$2:$A$201,0))))),"Unit does not match its measurement type",IF(F76="","Give it a short name","ok")))))))))</f>
        <v/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10" t="str">
        <f aca="false">IF(A77="","",IF(SUMPRODUCT(--EXACT('3 Bindings'!$A$2:$A$201,A77))&gt;0,"yes","not yet"))</f>
        <v/>
      </c>
      <c r="I77" s="10" t="str">
        <f aca="false">IF(A77="","",IF(SUMPRODUCT(--EXACT($A$2:$A$201,A77))&gt;1,"Duplicate ID",IF(AND(B77&lt;&gt;"Measurement",B77&lt;&gt;"State or alarm"),"Kind must be Measurement or State or alarm",IF(SUMPRODUCT(--EXACT('2 Assets'!$A$2:$A$201,C77))=0,"Asset is not on the Assets sheet",IF(SUMPRODUCT(--EXACT('1 Measurement types'!$A$2:$A$201,D77))=0,"Not on the Measurement types sheet",IF(INDEX('1 Measurement types'!$B$2:$B$201,MATCH(D77,'1 Measurement types'!$A$2:$A$201,0))&lt;&gt;B77,"Kind does not match its measurement type",IF(AND(B77="Measurement",E77=""),"A measurement needs a unit",IF(AND(B77="Measurement",NOT(EXACT(E77,INDEX('1 Measurement types'!$C$2:$C$201,MATCH(D77,'1 Measurement types'!$A$2:$A$201,0))))),"Unit does not match its measurement type",IF(F77="","Give it a short name","ok")))))))))</f>
        <v/>
      </c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10" t="str">
        <f aca="false">IF(A78="","",IF(SUMPRODUCT(--EXACT('3 Bindings'!$A$2:$A$201,A78))&gt;0,"yes","not yet"))</f>
        <v/>
      </c>
      <c r="I78" s="10" t="str">
        <f aca="false">IF(A78="","",IF(SUMPRODUCT(--EXACT($A$2:$A$201,A78))&gt;1,"Duplicate ID",IF(AND(B78&lt;&gt;"Measurement",B78&lt;&gt;"State or alarm"),"Kind must be Measurement or State or alarm",IF(SUMPRODUCT(--EXACT('2 Assets'!$A$2:$A$201,C78))=0,"Asset is not on the Assets sheet",IF(SUMPRODUCT(--EXACT('1 Measurement types'!$A$2:$A$201,D78))=0,"Not on the Measurement types sheet",IF(INDEX('1 Measurement types'!$B$2:$B$201,MATCH(D78,'1 Measurement types'!$A$2:$A$201,0))&lt;&gt;B78,"Kind does not match its measurement type",IF(AND(B78="Measurement",E78=""),"A measurement needs a unit",IF(AND(B78="Measurement",NOT(EXACT(E78,INDEX('1 Measurement types'!$C$2:$C$201,MATCH(D78,'1 Measurement types'!$A$2:$A$201,0))))),"Unit does not match its measurement type",IF(F78="","Give it a short name","ok")))))))))</f>
        <v/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10" t="str">
        <f aca="false">IF(A79="","",IF(SUMPRODUCT(--EXACT('3 Bindings'!$A$2:$A$201,A79))&gt;0,"yes","not yet"))</f>
        <v/>
      </c>
      <c r="I79" s="10" t="str">
        <f aca="false">IF(A79="","",IF(SUMPRODUCT(--EXACT($A$2:$A$201,A79))&gt;1,"Duplicate ID",IF(AND(B79&lt;&gt;"Measurement",B79&lt;&gt;"State or alarm"),"Kind must be Measurement or State or alarm",IF(SUMPRODUCT(--EXACT('2 Assets'!$A$2:$A$201,C79))=0,"Asset is not on the Assets sheet",IF(SUMPRODUCT(--EXACT('1 Measurement types'!$A$2:$A$201,D79))=0,"Not on the Measurement types sheet",IF(INDEX('1 Measurement types'!$B$2:$B$201,MATCH(D79,'1 Measurement types'!$A$2:$A$201,0))&lt;&gt;B79,"Kind does not match its measurement type",IF(AND(B79="Measurement",E79=""),"A measurement needs a unit",IF(AND(B79="Measurement",NOT(EXACT(E79,INDEX('1 Measurement types'!$C$2:$C$201,MATCH(D79,'1 Measurement types'!$A$2:$A$201,0))))),"Unit does not match its measurement type",IF(F79="","Give it a short name","ok")))))))))</f>
        <v/>
      </c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10" t="str">
        <f aca="false">IF(A80="","",IF(SUMPRODUCT(--EXACT('3 Bindings'!$A$2:$A$201,A80))&gt;0,"yes","not yet"))</f>
        <v/>
      </c>
      <c r="I80" s="10" t="str">
        <f aca="false">IF(A80="","",IF(SUMPRODUCT(--EXACT($A$2:$A$201,A80))&gt;1,"Duplicate ID",IF(AND(B80&lt;&gt;"Measurement",B80&lt;&gt;"State or alarm"),"Kind must be Measurement or State or alarm",IF(SUMPRODUCT(--EXACT('2 Assets'!$A$2:$A$201,C80))=0,"Asset is not on the Assets sheet",IF(SUMPRODUCT(--EXACT('1 Measurement types'!$A$2:$A$201,D80))=0,"Not on the Measurement types sheet",IF(INDEX('1 Measurement types'!$B$2:$B$201,MATCH(D80,'1 Measurement types'!$A$2:$A$201,0))&lt;&gt;B80,"Kind does not match its measurement type",IF(AND(B80="Measurement",E80=""),"A measurement needs a unit",IF(AND(B80="Measurement",NOT(EXACT(E80,INDEX('1 Measurement types'!$C$2:$C$201,MATCH(D80,'1 Measurement types'!$A$2:$A$201,0))))),"Unit does not match its measurement type",IF(F80="","Give it a short name","ok")))))))))</f>
        <v/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10" t="str">
        <f aca="false">IF(A81="","",IF(SUMPRODUCT(--EXACT('3 Bindings'!$A$2:$A$201,A81))&gt;0,"yes","not yet"))</f>
        <v/>
      </c>
      <c r="I81" s="10" t="str">
        <f aca="false">IF(A81="","",IF(SUMPRODUCT(--EXACT($A$2:$A$201,A81))&gt;1,"Duplicate ID",IF(AND(B81&lt;&gt;"Measurement",B81&lt;&gt;"State or alarm"),"Kind must be Measurement or State or alarm",IF(SUMPRODUCT(--EXACT('2 Assets'!$A$2:$A$201,C81))=0,"Asset is not on the Assets sheet",IF(SUMPRODUCT(--EXACT('1 Measurement types'!$A$2:$A$201,D81))=0,"Not on the Measurement types sheet",IF(INDEX('1 Measurement types'!$B$2:$B$201,MATCH(D81,'1 Measurement types'!$A$2:$A$201,0))&lt;&gt;B81,"Kind does not match its measurement type",IF(AND(B81="Measurement",E81=""),"A measurement needs a unit",IF(AND(B81="Measurement",NOT(EXACT(E81,INDEX('1 Measurement types'!$C$2:$C$201,MATCH(D81,'1 Measurement types'!$A$2:$A$201,0))))),"Unit does not match its measurement type",IF(F81="","Give it a short name","ok")))))))))</f>
        <v/>
      </c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10" t="str">
        <f aca="false">IF(A82="","",IF(SUMPRODUCT(--EXACT('3 Bindings'!$A$2:$A$201,A82))&gt;0,"yes","not yet"))</f>
        <v/>
      </c>
      <c r="I82" s="10" t="str">
        <f aca="false">IF(A82="","",IF(SUMPRODUCT(--EXACT($A$2:$A$201,A82))&gt;1,"Duplicate ID",IF(AND(B82&lt;&gt;"Measurement",B82&lt;&gt;"State or alarm"),"Kind must be Measurement or State or alarm",IF(SUMPRODUCT(--EXACT('2 Assets'!$A$2:$A$201,C82))=0,"Asset is not on the Assets sheet",IF(SUMPRODUCT(--EXACT('1 Measurement types'!$A$2:$A$201,D82))=0,"Not on the Measurement types sheet",IF(INDEX('1 Measurement types'!$B$2:$B$201,MATCH(D82,'1 Measurement types'!$A$2:$A$201,0))&lt;&gt;B82,"Kind does not match its measurement type",IF(AND(B82="Measurement",E82=""),"A measurement needs a unit",IF(AND(B82="Measurement",NOT(EXACT(E82,INDEX('1 Measurement types'!$C$2:$C$201,MATCH(D82,'1 Measurement types'!$A$2:$A$201,0))))),"Unit does not match its measurement type",IF(F82="","Give it a short name","ok")))))))))</f>
        <v/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10" t="str">
        <f aca="false">IF(A83="","",IF(SUMPRODUCT(--EXACT('3 Bindings'!$A$2:$A$201,A83))&gt;0,"yes","not yet"))</f>
        <v/>
      </c>
      <c r="I83" s="10" t="str">
        <f aca="false">IF(A83="","",IF(SUMPRODUCT(--EXACT($A$2:$A$201,A83))&gt;1,"Duplicate ID",IF(AND(B83&lt;&gt;"Measurement",B83&lt;&gt;"State or alarm"),"Kind must be Measurement or State or alarm",IF(SUMPRODUCT(--EXACT('2 Assets'!$A$2:$A$201,C83))=0,"Asset is not on the Assets sheet",IF(SUMPRODUCT(--EXACT('1 Measurement types'!$A$2:$A$201,D83))=0,"Not on the Measurement types sheet",IF(INDEX('1 Measurement types'!$B$2:$B$201,MATCH(D83,'1 Measurement types'!$A$2:$A$201,0))&lt;&gt;B83,"Kind does not match its measurement type",IF(AND(B83="Measurement",E83=""),"A measurement needs a unit",IF(AND(B83="Measurement",NOT(EXACT(E83,INDEX('1 Measurement types'!$C$2:$C$201,MATCH(D83,'1 Measurement types'!$A$2:$A$201,0))))),"Unit does not match its measurement type",IF(F83="","Give it a short name","ok")))))))))</f>
        <v/>
      </c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10" t="str">
        <f aca="false">IF(A84="","",IF(SUMPRODUCT(--EXACT('3 Bindings'!$A$2:$A$201,A84))&gt;0,"yes","not yet"))</f>
        <v/>
      </c>
      <c r="I84" s="10" t="str">
        <f aca="false">IF(A84="","",IF(SUMPRODUCT(--EXACT($A$2:$A$201,A84))&gt;1,"Duplicate ID",IF(AND(B84&lt;&gt;"Measurement",B84&lt;&gt;"State or alarm"),"Kind must be Measurement or State or alarm",IF(SUMPRODUCT(--EXACT('2 Assets'!$A$2:$A$201,C84))=0,"Asset is not on the Assets sheet",IF(SUMPRODUCT(--EXACT('1 Measurement types'!$A$2:$A$201,D84))=0,"Not on the Measurement types sheet",IF(INDEX('1 Measurement types'!$B$2:$B$201,MATCH(D84,'1 Measurement types'!$A$2:$A$201,0))&lt;&gt;B84,"Kind does not match its measurement type",IF(AND(B84="Measurement",E84=""),"A measurement needs a unit",IF(AND(B84="Measurement",NOT(EXACT(E84,INDEX('1 Measurement types'!$C$2:$C$201,MATCH(D84,'1 Measurement types'!$A$2:$A$201,0))))),"Unit does not match its measurement type",IF(F84="","Give it a short name","ok")))))))))</f>
        <v/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10" t="str">
        <f aca="false">IF(A85="","",IF(SUMPRODUCT(--EXACT('3 Bindings'!$A$2:$A$201,A85))&gt;0,"yes","not yet"))</f>
        <v/>
      </c>
      <c r="I85" s="10" t="str">
        <f aca="false">IF(A85="","",IF(SUMPRODUCT(--EXACT($A$2:$A$201,A85))&gt;1,"Duplicate ID",IF(AND(B85&lt;&gt;"Measurement",B85&lt;&gt;"State or alarm"),"Kind must be Measurement or State or alarm",IF(SUMPRODUCT(--EXACT('2 Assets'!$A$2:$A$201,C85))=0,"Asset is not on the Assets sheet",IF(SUMPRODUCT(--EXACT('1 Measurement types'!$A$2:$A$201,D85))=0,"Not on the Measurement types sheet",IF(INDEX('1 Measurement types'!$B$2:$B$201,MATCH(D85,'1 Measurement types'!$A$2:$A$201,0))&lt;&gt;B85,"Kind does not match its measurement type",IF(AND(B85="Measurement",E85=""),"A measurement needs a unit",IF(AND(B85="Measurement",NOT(EXACT(E85,INDEX('1 Measurement types'!$C$2:$C$201,MATCH(D85,'1 Measurement types'!$A$2:$A$201,0))))),"Unit does not match its measurement type",IF(F85="","Give it a short name","ok")))))))))</f>
        <v/>
      </c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10" t="str">
        <f aca="false">IF(A86="","",IF(SUMPRODUCT(--EXACT('3 Bindings'!$A$2:$A$201,A86))&gt;0,"yes","not yet"))</f>
        <v/>
      </c>
      <c r="I86" s="10" t="str">
        <f aca="false">IF(A86="","",IF(SUMPRODUCT(--EXACT($A$2:$A$201,A86))&gt;1,"Duplicate ID",IF(AND(B86&lt;&gt;"Measurement",B86&lt;&gt;"State or alarm"),"Kind must be Measurement or State or alarm",IF(SUMPRODUCT(--EXACT('2 Assets'!$A$2:$A$201,C86))=0,"Asset is not on the Assets sheet",IF(SUMPRODUCT(--EXACT('1 Measurement types'!$A$2:$A$201,D86))=0,"Not on the Measurement types sheet",IF(INDEX('1 Measurement types'!$B$2:$B$201,MATCH(D86,'1 Measurement types'!$A$2:$A$201,0))&lt;&gt;B86,"Kind does not match its measurement type",IF(AND(B86="Measurement",E86=""),"A measurement needs a unit",IF(AND(B86="Measurement",NOT(EXACT(E86,INDEX('1 Measurement types'!$C$2:$C$201,MATCH(D86,'1 Measurement types'!$A$2:$A$201,0))))),"Unit does not match its measurement type",IF(F86="","Give it a short name","ok")))))))))</f>
        <v/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10" t="str">
        <f aca="false">IF(A87="","",IF(SUMPRODUCT(--EXACT('3 Bindings'!$A$2:$A$201,A87))&gt;0,"yes","not yet"))</f>
        <v/>
      </c>
      <c r="I87" s="10" t="str">
        <f aca="false">IF(A87="","",IF(SUMPRODUCT(--EXACT($A$2:$A$201,A87))&gt;1,"Duplicate ID",IF(AND(B87&lt;&gt;"Measurement",B87&lt;&gt;"State or alarm"),"Kind must be Measurement or State or alarm",IF(SUMPRODUCT(--EXACT('2 Assets'!$A$2:$A$201,C87))=0,"Asset is not on the Assets sheet",IF(SUMPRODUCT(--EXACT('1 Measurement types'!$A$2:$A$201,D87))=0,"Not on the Measurement types sheet",IF(INDEX('1 Measurement types'!$B$2:$B$201,MATCH(D87,'1 Measurement types'!$A$2:$A$201,0))&lt;&gt;B87,"Kind does not match its measurement type",IF(AND(B87="Measurement",E87=""),"A measurement needs a unit",IF(AND(B87="Measurement",NOT(EXACT(E87,INDEX('1 Measurement types'!$C$2:$C$201,MATCH(D87,'1 Measurement types'!$A$2:$A$201,0))))),"Unit does not match its measurement type",IF(F87="","Give it a short name","ok")))))))))</f>
        <v/>
      </c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10" t="str">
        <f aca="false">IF(A88="","",IF(SUMPRODUCT(--EXACT('3 Bindings'!$A$2:$A$201,A88))&gt;0,"yes","not yet"))</f>
        <v/>
      </c>
      <c r="I88" s="10" t="str">
        <f aca="false">IF(A88="","",IF(SUMPRODUCT(--EXACT($A$2:$A$201,A88))&gt;1,"Duplicate ID",IF(AND(B88&lt;&gt;"Measurement",B88&lt;&gt;"State or alarm"),"Kind must be Measurement or State or alarm",IF(SUMPRODUCT(--EXACT('2 Assets'!$A$2:$A$201,C88))=0,"Asset is not on the Assets sheet",IF(SUMPRODUCT(--EXACT('1 Measurement types'!$A$2:$A$201,D88))=0,"Not on the Measurement types sheet",IF(INDEX('1 Measurement types'!$B$2:$B$201,MATCH(D88,'1 Measurement types'!$A$2:$A$201,0))&lt;&gt;B88,"Kind does not match its measurement type",IF(AND(B88="Measurement",E88=""),"A measurement needs a unit",IF(AND(B88="Measurement",NOT(EXACT(E88,INDEX('1 Measurement types'!$C$2:$C$201,MATCH(D88,'1 Measurement types'!$A$2:$A$201,0))))),"Unit does not match its measurement type",IF(F88="","Give it a short name","ok")))))))))</f>
        <v/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10" t="str">
        <f aca="false">IF(A89="","",IF(SUMPRODUCT(--EXACT('3 Bindings'!$A$2:$A$201,A89))&gt;0,"yes","not yet"))</f>
        <v/>
      </c>
      <c r="I89" s="10" t="str">
        <f aca="false">IF(A89="","",IF(SUMPRODUCT(--EXACT($A$2:$A$201,A89))&gt;1,"Duplicate ID",IF(AND(B89&lt;&gt;"Measurement",B89&lt;&gt;"State or alarm"),"Kind must be Measurement or State or alarm",IF(SUMPRODUCT(--EXACT('2 Assets'!$A$2:$A$201,C89))=0,"Asset is not on the Assets sheet",IF(SUMPRODUCT(--EXACT('1 Measurement types'!$A$2:$A$201,D89))=0,"Not on the Measurement types sheet",IF(INDEX('1 Measurement types'!$B$2:$B$201,MATCH(D89,'1 Measurement types'!$A$2:$A$201,0))&lt;&gt;B89,"Kind does not match its measurement type",IF(AND(B89="Measurement",E89=""),"A measurement needs a unit",IF(AND(B89="Measurement",NOT(EXACT(E89,INDEX('1 Measurement types'!$C$2:$C$201,MATCH(D89,'1 Measurement types'!$A$2:$A$201,0))))),"Unit does not match its measurement type",IF(F89="","Give it a short name","ok")))))))))</f>
        <v/>
      </c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10" t="str">
        <f aca="false">IF(A90="","",IF(SUMPRODUCT(--EXACT('3 Bindings'!$A$2:$A$201,A90))&gt;0,"yes","not yet"))</f>
        <v/>
      </c>
      <c r="I90" s="10" t="str">
        <f aca="false">IF(A90="","",IF(SUMPRODUCT(--EXACT($A$2:$A$201,A90))&gt;1,"Duplicate ID",IF(AND(B90&lt;&gt;"Measurement",B90&lt;&gt;"State or alarm"),"Kind must be Measurement or State or alarm",IF(SUMPRODUCT(--EXACT('2 Assets'!$A$2:$A$201,C90))=0,"Asset is not on the Assets sheet",IF(SUMPRODUCT(--EXACT('1 Measurement types'!$A$2:$A$201,D90))=0,"Not on the Measurement types sheet",IF(INDEX('1 Measurement types'!$B$2:$B$201,MATCH(D90,'1 Measurement types'!$A$2:$A$201,0))&lt;&gt;B90,"Kind does not match its measurement type",IF(AND(B90="Measurement",E90=""),"A measurement needs a unit",IF(AND(B90="Measurement",NOT(EXACT(E90,INDEX('1 Measurement types'!$C$2:$C$201,MATCH(D90,'1 Measurement types'!$A$2:$A$201,0))))),"Unit does not match its measurement type",IF(F90="","Give it a short name","ok")))))))))</f>
        <v/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10" t="str">
        <f aca="false">IF(A91="","",IF(SUMPRODUCT(--EXACT('3 Bindings'!$A$2:$A$201,A91))&gt;0,"yes","not yet"))</f>
        <v/>
      </c>
      <c r="I91" s="10" t="str">
        <f aca="false">IF(A91="","",IF(SUMPRODUCT(--EXACT($A$2:$A$201,A91))&gt;1,"Duplicate ID",IF(AND(B91&lt;&gt;"Measurement",B91&lt;&gt;"State or alarm"),"Kind must be Measurement or State or alarm",IF(SUMPRODUCT(--EXACT('2 Assets'!$A$2:$A$201,C91))=0,"Asset is not on the Assets sheet",IF(SUMPRODUCT(--EXACT('1 Measurement types'!$A$2:$A$201,D91))=0,"Not on the Measurement types sheet",IF(INDEX('1 Measurement types'!$B$2:$B$201,MATCH(D91,'1 Measurement types'!$A$2:$A$201,0))&lt;&gt;B91,"Kind does not match its measurement type",IF(AND(B91="Measurement",E91=""),"A measurement needs a unit",IF(AND(B91="Measurement",NOT(EXACT(E91,INDEX('1 Measurement types'!$C$2:$C$201,MATCH(D91,'1 Measurement types'!$A$2:$A$201,0))))),"Unit does not match its measurement type",IF(F91="","Give it a short name","ok")))))))))</f>
        <v/>
      </c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10" t="str">
        <f aca="false">IF(A92="","",IF(SUMPRODUCT(--EXACT('3 Bindings'!$A$2:$A$201,A92))&gt;0,"yes","not yet"))</f>
        <v/>
      </c>
      <c r="I92" s="10" t="str">
        <f aca="false">IF(A92="","",IF(SUMPRODUCT(--EXACT($A$2:$A$201,A92))&gt;1,"Duplicate ID",IF(AND(B92&lt;&gt;"Measurement",B92&lt;&gt;"State or alarm"),"Kind must be Measurement or State or alarm",IF(SUMPRODUCT(--EXACT('2 Assets'!$A$2:$A$201,C92))=0,"Asset is not on the Assets sheet",IF(SUMPRODUCT(--EXACT('1 Measurement types'!$A$2:$A$201,D92))=0,"Not on the Measurement types sheet",IF(INDEX('1 Measurement types'!$B$2:$B$201,MATCH(D92,'1 Measurement types'!$A$2:$A$201,0))&lt;&gt;B92,"Kind does not match its measurement type",IF(AND(B92="Measurement",E92=""),"A measurement needs a unit",IF(AND(B92="Measurement",NOT(EXACT(E92,INDEX('1 Measurement types'!$C$2:$C$201,MATCH(D92,'1 Measurement types'!$A$2:$A$201,0))))),"Unit does not match its measurement type",IF(F92="","Give it a short name","ok")))))))))</f>
        <v/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10" t="str">
        <f aca="false">IF(A93="","",IF(SUMPRODUCT(--EXACT('3 Bindings'!$A$2:$A$201,A93))&gt;0,"yes","not yet"))</f>
        <v/>
      </c>
      <c r="I93" s="10" t="str">
        <f aca="false">IF(A93="","",IF(SUMPRODUCT(--EXACT($A$2:$A$201,A93))&gt;1,"Duplicate ID",IF(AND(B93&lt;&gt;"Measurement",B93&lt;&gt;"State or alarm"),"Kind must be Measurement or State or alarm",IF(SUMPRODUCT(--EXACT('2 Assets'!$A$2:$A$201,C93))=0,"Asset is not on the Assets sheet",IF(SUMPRODUCT(--EXACT('1 Measurement types'!$A$2:$A$201,D93))=0,"Not on the Measurement types sheet",IF(INDEX('1 Measurement types'!$B$2:$B$201,MATCH(D93,'1 Measurement types'!$A$2:$A$201,0))&lt;&gt;B93,"Kind does not match its measurement type",IF(AND(B93="Measurement",E93=""),"A measurement needs a unit",IF(AND(B93="Measurement",NOT(EXACT(E93,INDEX('1 Measurement types'!$C$2:$C$201,MATCH(D93,'1 Measurement types'!$A$2:$A$201,0))))),"Unit does not match its measurement type",IF(F93="","Give it a short name","ok")))))))))</f>
        <v/>
      </c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10" t="str">
        <f aca="false">IF(A94="","",IF(SUMPRODUCT(--EXACT('3 Bindings'!$A$2:$A$201,A94))&gt;0,"yes","not yet"))</f>
        <v/>
      </c>
      <c r="I94" s="10" t="str">
        <f aca="false">IF(A94="","",IF(SUMPRODUCT(--EXACT($A$2:$A$201,A94))&gt;1,"Duplicate ID",IF(AND(B94&lt;&gt;"Measurement",B94&lt;&gt;"State or alarm"),"Kind must be Measurement or State or alarm",IF(SUMPRODUCT(--EXACT('2 Assets'!$A$2:$A$201,C94))=0,"Asset is not on the Assets sheet",IF(SUMPRODUCT(--EXACT('1 Measurement types'!$A$2:$A$201,D94))=0,"Not on the Measurement types sheet",IF(INDEX('1 Measurement types'!$B$2:$B$201,MATCH(D94,'1 Measurement types'!$A$2:$A$201,0))&lt;&gt;B94,"Kind does not match its measurement type",IF(AND(B94="Measurement",E94=""),"A measurement needs a unit",IF(AND(B94="Measurement",NOT(EXACT(E94,INDEX('1 Measurement types'!$C$2:$C$201,MATCH(D94,'1 Measurement types'!$A$2:$A$201,0))))),"Unit does not match its measurement type",IF(F94="","Give it a short name","ok")))))))))</f>
        <v/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10" t="str">
        <f aca="false">IF(A95="","",IF(SUMPRODUCT(--EXACT('3 Bindings'!$A$2:$A$201,A95))&gt;0,"yes","not yet"))</f>
        <v/>
      </c>
      <c r="I95" s="10" t="str">
        <f aca="false">IF(A95="","",IF(SUMPRODUCT(--EXACT($A$2:$A$201,A95))&gt;1,"Duplicate ID",IF(AND(B95&lt;&gt;"Measurement",B95&lt;&gt;"State or alarm"),"Kind must be Measurement or State or alarm",IF(SUMPRODUCT(--EXACT('2 Assets'!$A$2:$A$201,C95))=0,"Asset is not on the Assets sheet",IF(SUMPRODUCT(--EXACT('1 Measurement types'!$A$2:$A$201,D95))=0,"Not on the Measurement types sheet",IF(INDEX('1 Measurement types'!$B$2:$B$201,MATCH(D95,'1 Measurement types'!$A$2:$A$201,0))&lt;&gt;B95,"Kind does not match its measurement type",IF(AND(B95="Measurement",E95=""),"A measurement needs a unit",IF(AND(B95="Measurement",NOT(EXACT(E95,INDEX('1 Measurement types'!$C$2:$C$201,MATCH(D95,'1 Measurement types'!$A$2:$A$201,0))))),"Unit does not match its measurement type",IF(F95="","Give it a short name","ok")))))))))</f>
        <v/>
      </c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10" t="str">
        <f aca="false">IF(A96="","",IF(SUMPRODUCT(--EXACT('3 Bindings'!$A$2:$A$201,A96))&gt;0,"yes","not yet"))</f>
        <v/>
      </c>
      <c r="I96" s="10" t="str">
        <f aca="false">IF(A96="","",IF(SUMPRODUCT(--EXACT($A$2:$A$201,A96))&gt;1,"Duplicate ID",IF(AND(B96&lt;&gt;"Measurement",B96&lt;&gt;"State or alarm"),"Kind must be Measurement or State or alarm",IF(SUMPRODUCT(--EXACT('2 Assets'!$A$2:$A$201,C96))=0,"Asset is not on the Assets sheet",IF(SUMPRODUCT(--EXACT('1 Measurement types'!$A$2:$A$201,D96))=0,"Not on the Measurement types sheet",IF(INDEX('1 Measurement types'!$B$2:$B$201,MATCH(D96,'1 Measurement types'!$A$2:$A$201,0))&lt;&gt;B96,"Kind does not match its measurement type",IF(AND(B96="Measurement",E96=""),"A measurement needs a unit",IF(AND(B96="Measurement",NOT(EXACT(E96,INDEX('1 Measurement types'!$C$2:$C$201,MATCH(D96,'1 Measurement types'!$A$2:$A$201,0))))),"Unit does not match its measurement type",IF(F96="","Give it a short name","ok")))))))))</f>
        <v/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10" t="str">
        <f aca="false">IF(A97="","",IF(SUMPRODUCT(--EXACT('3 Bindings'!$A$2:$A$201,A97))&gt;0,"yes","not yet"))</f>
        <v/>
      </c>
      <c r="I97" s="10" t="str">
        <f aca="false">IF(A97="","",IF(SUMPRODUCT(--EXACT($A$2:$A$201,A97))&gt;1,"Duplicate ID",IF(AND(B97&lt;&gt;"Measurement",B97&lt;&gt;"State or alarm"),"Kind must be Measurement or State or alarm",IF(SUMPRODUCT(--EXACT('2 Assets'!$A$2:$A$201,C97))=0,"Asset is not on the Assets sheet",IF(SUMPRODUCT(--EXACT('1 Measurement types'!$A$2:$A$201,D97))=0,"Not on the Measurement types sheet",IF(INDEX('1 Measurement types'!$B$2:$B$201,MATCH(D97,'1 Measurement types'!$A$2:$A$201,0))&lt;&gt;B97,"Kind does not match its measurement type",IF(AND(B97="Measurement",E97=""),"A measurement needs a unit",IF(AND(B97="Measurement",NOT(EXACT(E97,INDEX('1 Measurement types'!$C$2:$C$201,MATCH(D97,'1 Measurement types'!$A$2:$A$201,0))))),"Unit does not match its measurement type",IF(F97="","Give it a short name","ok")))))))))</f>
        <v/>
      </c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10" t="str">
        <f aca="false">IF(A98="","",IF(SUMPRODUCT(--EXACT('3 Bindings'!$A$2:$A$201,A98))&gt;0,"yes","not yet"))</f>
        <v/>
      </c>
      <c r="I98" s="10" t="str">
        <f aca="false">IF(A98="","",IF(SUMPRODUCT(--EXACT($A$2:$A$201,A98))&gt;1,"Duplicate ID",IF(AND(B98&lt;&gt;"Measurement",B98&lt;&gt;"State or alarm"),"Kind must be Measurement or State or alarm",IF(SUMPRODUCT(--EXACT('2 Assets'!$A$2:$A$201,C98))=0,"Asset is not on the Assets sheet",IF(SUMPRODUCT(--EXACT('1 Measurement types'!$A$2:$A$201,D98))=0,"Not on the Measurement types sheet",IF(INDEX('1 Measurement types'!$B$2:$B$201,MATCH(D98,'1 Measurement types'!$A$2:$A$201,0))&lt;&gt;B98,"Kind does not match its measurement type",IF(AND(B98="Measurement",E98=""),"A measurement needs a unit",IF(AND(B98="Measurement",NOT(EXACT(E98,INDEX('1 Measurement types'!$C$2:$C$201,MATCH(D98,'1 Measurement types'!$A$2:$A$201,0))))),"Unit does not match its measurement type",IF(F98="","Give it a short name","ok")))))))))</f>
        <v/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10" t="str">
        <f aca="false">IF(A99="","",IF(SUMPRODUCT(--EXACT('3 Bindings'!$A$2:$A$201,A99))&gt;0,"yes","not yet"))</f>
        <v/>
      </c>
      <c r="I99" s="10" t="str">
        <f aca="false">IF(A99="","",IF(SUMPRODUCT(--EXACT($A$2:$A$201,A99))&gt;1,"Duplicate ID",IF(AND(B99&lt;&gt;"Measurement",B99&lt;&gt;"State or alarm"),"Kind must be Measurement or State or alarm",IF(SUMPRODUCT(--EXACT('2 Assets'!$A$2:$A$201,C99))=0,"Asset is not on the Assets sheet",IF(SUMPRODUCT(--EXACT('1 Measurement types'!$A$2:$A$201,D99))=0,"Not on the Measurement types sheet",IF(INDEX('1 Measurement types'!$B$2:$B$201,MATCH(D99,'1 Measurement types'!$A$2:$A$201,0))&lt;&gt;B99,"Kind does not match its measurement type",IF(AND(B99="Measurement",E99=""),"A measurement needs a unit",IF(AND(B99="Measurement",NOT(EXACT(E99,INDEX('1 Measurement types'!$C$2:$C$201,MATCH(D99,'1 Measurement types'!$A$2:$A$201,0))))),"Unit does not match its measurement type",IF(F99="","Give it a short name","ok")))))))))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10" t="str">
        <f aca="false">IF(A100="","",IF(SUMPRODUCT(--EXACT('3 Bindings'!$A$2:$A$201,A100))&gt;0,"yes","not yet"))</f>
        <v/>
      </c>
      <c r="I100" s="10" t="str">
        <f aca="false">IF(A100="","",IF(SUMPRODUCT(--EXACT($A$2:$A$201,A100))&gt;1,"Duplicate ID",IF(AND(B100&lt;&gt;"Measurement",B100&lt;&gt;"State or alarm"),"Kind must be Measurement or State or alarm",IF(SUMPRODUCT(--EXACT('2 Assets'!$A$2:$A$201,C100))=0,"Asset is not on the Assets sheet",IF(SUMPRODUCT(--EXACT('1 Measurement types'!$A$2:$A$201,D100))=0,"Not on the Measurement types sheet",IF(INDEX('1 Measurement types'!$B$2:$B$201,MATCH(D100,'1 Measurement types'!$A$2:$A$201,0))&lt;&gt;B100,"Kind does not match its measurement type",IF(AND(B100="Measurement",E100=""),"A measurement needs a unit",IF(AND(B100="Measurement",NOT(EXACT(E100,INDEX('1 Measurement types'!$C$2:$C$201,MATCH(D100,'1 Measurement types'!$A$2:$A$201,0))))),"Unit does not match its measurement type",IF(F100="","Give it a short name","ok")))))))))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10" t="str">
        <f aca="false">IF(A101="","",IF(SUMPRODUCT(--EXACT('3 Bindings'!$A$2:$A$201,A101))&gt;0,"yes","not yet"))</f>
        <v/>
      </c>
      <c r="I101" s="10" t="str">
        <f aca="false">IF(A101="","",IF(SUMPRODUCT(--EXACT($A$2:$A$201,A101))&gt;1,"Duplicate ID",IF(AND(B101&lt;&gt;"Measurement",B101&lt;&gt;"State or alarm"),"Kind must be Measurement or State or alarm",IF(SUMPRODUCT(--EXACT('2 Assets'!$A$2:$A$201,C101))=0,"Asset is not on the Assets sheet",IF(SUMPRODUCT(--EXACT('1 Measurement types'!$A$2:$A$201,D101))=0,"Not on the Measurement types sheet",IF(INDEX('1 Measurement types'!$B$2:$B$201,MATCH(D101,'1 Measurement types'!$A$2:$A$201,0))&lt;&gt;B101,"Kind does not match its measurement type",IF(AND(B101="Measurement",E101=""),"A measurement needs a unit",IF(AND(B101="Measurement",NOT(EXACT(E101,INDEX('1 Measurement types'!$C$2:$C$201,MATCH(D101,'1 Measurement types'!$A$2:$A$201,0))))),"Unit does not match its measurement type",IF(F101="","Give it a short name","ok")))))))))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10" t="str">
        <f aca="false">IF(A102="","",IF(SUMPRODUCT(--EXACT('3 Bindings'!$A$2:$A$201,A102))&gt;0,"yes","not yet"))</f>
        <v/>
      </c>
      <c r="I102" s="10" t="str">
        <f aca="false">IF(A102="","",IF(SUMPRODUCT(--EXACT($A$2:$A$201,A102))&gt;1,"Duplicate ID",IF(AND(B102&lt;&gt;"Measurement",B102&lt;&gt;"State or alarm"),"Kind must be Measurement or State or alarm",IF(SUMPRODUCT(--EXACT('2 Assets'!$A$2:$A$201,C102))=0,"Asset is not on the Assets sheet",IF(SUMPRODUCT(--EXACT('1 Measurement types'!$A$2:$A$201,D102))=0,"Not on the Measurement types sheet",IF(INDEX('1 Measurement types'!$B$2:$B$201,MATCH(D102,'1 Measurement types'!$A$2:$A$201,0))&lt;&gt;B102,"Kind does not match its measurement type",IF(AND(B102="Measurement",E102=""),"A measurement needs a unit",IF(AND(B102="Measurement",NOT(EXACT(E102,INDEX('1 Measurement types'!$C$2:$C$201,MATCH(D102,'1 Measurement types'!$A$2:$A$201,0))))),"Unit does not match its measurement type",IF(F102="","Give it a short name","ok")))))))))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10" t="str">
        <f aca="false">IF(A103="","",IF(SUMPRODUCT(--EXACT('3 Bindings'!$A$2:$A$201,A103))&gt;0,"yes","not yet"))</f>
        <v/>
      </c>
      <c r="I103" s="10" t="str">
        <f aca="false">IF(A103="","",IF(SUMPRODUCT(--EXACT($A$2:$A$201,A103))&gt;1,"Duplicate ID",IF(AND(B103&lt;&gt;"Measurement",B103&lt;&gt;"State or alarm"),"Kind must be Measurement or State or alarm",IF(SUMPRODUCT(--EXACT('2 Assets'!$A$2:$A$201,C103))=0,"Asset is not on the Assets sheet",IF(SUMPRODUCT(--EXACT('1 Measurement types'!$A$2:$A$201,D103))=0,"Not on the Measurement types sheet",IF(INDEX('1 Measurement types'!$B$2:$B$201,MATCH(D103,'1 Measurement types'!$A$2:$A$201,0))&lt;&gt;B103,"Kind does not match its measurement type",IF(AND(B103="Measurement",E103=""),"A measurement needs a unit",IF(AND(B103="Measurement",NOT(EXACT(E103,INDEX('1 Measurement types'!$C$2:$C$201,MATCH(D103,'1 Measurement types'!$A$2:$A$201,0))))),"Unit does not match its measurement type",IF(F103="","Give it a short name","ok")))))))))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10" t="str">
        <f aca="false">IF(A104="","",IF(SUMPRODUCT(--EXACT('3 Bindings'!$A$2:$A$201,A104))&gt;0,"yes","not yet"))</f>
        <v/>
      </c>
      <c r="I104" s="10" t="str">
        <f aca="false">IF(A104="","",IF(SUMPRODUCT(--EXACT($A$2:$A$201,A104))&gt;1,"Duplicate ID",IF(AND(B104&lt;&gt;"Measurement",B104&lt;&gt;"State or alarm"),"Kind must be Measurement or State or alarm",IF(SUMPRODUCT(--EXACT('2 Assets'!$A$2:$A$201,C104))=0,"Asset is not on the Assets sheet",IF(SUMPRODUCT(--EXACT('1 Measurement types'!$A$2:$A$201,D104))=0,"Not on the Measurement types sheet",IF(INDEX('1 Measurement types'!$B$2:$B$201,MATCH(D104,'1 Measurement types'!$A$2:$A$201,0))&lt;&gt;B104,"Kind does not match its measurement type",IF(AND(B104="Measurement",E104=""),"A measurement needs a unit",IF(AND(B104="Measurement",NOT(EXACT(E104,INDEX('1 Measurement types'!$C$2:$C$201,MATCH(D104,'1 Measurement types'!$A$2:$A$201,0))))),"Unit does not match its measurement type",IF(F104="","Give it a short name","ok")))))))))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10" t="str">
        <f aca="false">IF(A105="","",IF(SUMPRODUCT(--EXACT('3 Bindings'!$A$2:$A$201,A105))&gt;0,"yes","not yet"))</f>
        <v/>
      </c>
      <c r="I105" s="10" t="str">
        <f aca="false">IF(A105="","",IF(SUMPRODUCT(--EXACT($A$2:$A$201,A105))&gt;1,"Duplicate ID",IF(AND(B105&lt;&gt;"Measurement",B105&lt;&gt;"State or alarm"),"Kind must be Measurement or State or alarm",IF(SUMPRODUCT(--EXACT('2 Assets'!$A$2:$A$201,C105))=0,"Asset is not on the Assets sheet",IF(SUMPRODUCT(--EXACT('1 Measurement types'!$A$2:$A$201,D105))=0,"Not on the Measurement types sheet",IF(INDEX('1 Measurement types'!$B$2:$B$201,MATCH(D105,'1 Measurement types'!$A$2:$A$201,0))&lt;&gt;B105,"Kind does not match its measurement type",IF(AND(B105="Measurement",E105=""),"A measurement needs a unit",IF(AND(B105="Measurement",NOT(EXACT(E105,INDEX('1 Measurement types'!$C$2:$C$201,MATCH(D105,'1 Measurement types'!$A$2:$A$201,0))))),"Unit does not match its measurement type",IF(F105="","Give it a short name","ok")))))))))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10" t="str">
        <f aca="false">IF(A106="","",IF(SUMPRODUCT(--EXACT('3 Bindings'!$A$2:$A$201,A106))&gt;0,"yes","not yet"))</f>
        <v/>
      </c>
      <c r="I106" s="10" t="str">
        <f aca="false">IF(A106="","",IF(SUMPRODUCT(--EXACT($A$2:$A$201,A106))&gt;1,"Duplicate ID",IF(AND(B106&lt;&gt;"Measurement",B106&lt;&gt;"State or alarm"),"Kind must be Measurement or State or alarm",IF(SUMPRODUCT(--EXACT('2 Assets'!$A$2:$A$201,C106))=0,"Asset is not on the Assets sheet",IF(SUMPRODUCT(--EXACT('1 Measurement types'!$A$2:$A$201,D106))=0,"Not on the Measurement types sheet",IF(INDEX('1 Measurement types'!$B$2:$B$201,MATCH(D106,'1 Measurement types'!$A$2:$A$201,0))&lt;&gt;B106,"Kind does not match its measurement type",IF(AND(B106="Measurement",E106=""),"A measurement needs a unit",IF(AND(B106="Measurement",NOT(EXACT(E106,INDEX('1 Measurement types'!$C$2:$C$201,MATCH(D106,'1 Measurement types'!$A$2:$A$201,0))))),"Unit does not match its measurement type",IF(F106="","Give it a short name","ok")))))))))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10" t="str">
        <f aca="false">IF(A107="","",IF(SUMPRODUCT(--EXACT('3 Bindings'!$A$2:$A$201,A107))&gt;0,"yes","not yet"))</f>
        <v/>
      </c>
      <c r="I107" s="10" t="str">
        <f aca="false">IF(A107="","",IF(SUMPRODUCT(--EXACT($A$2:$A$201,A107))&gt;1,"Duplicate ID",IF(AND(B107&lt;&gt;"Measurement",B107&lt;&gt;"State or alarm"),"Kind must be Measurement or State or alarm",IF(SUMPRODUCT(--EXACT('2 Assets'!$A$2:$A$201,C107))=0,"Asset is not on the Assets sheet",IF(SUMPRODUCT(--EXACT('1 Measurement types'!$A$2:$A$201,D107))=0,"Not on the Measurement types sheet",IF(INDEX('1 Measurement types'!$B$2:$B$201,MATCH(D107,'1 Measurement types'!$A$2:$A$201,0))&lt;&gt;B107,"Kind does not match its measurement type",IF(AND(B107="Measurement",E107=""),"A measurement needs a unit",IF(AND(B107="Measurement",NOT(EXACT(E107,INDEX('1 Measurement types'!$C$2:$C$201,MATCH(D107,'1 Measurement types'!$A$2:$A$201,0))))),"Unit does not match its measurement type",IF(F107="","Give it a short name","ok")))))))))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10" t="str">
        <f aca="false">IF(A108="","",IF(SUMPRODUCT(--EXACT('3 Bindings'!$A$2:$A$201,A108))&gt;0,"yes","not yet"))</f>
        <v/>
      </c>
      <c r="I108" s="10" t="str">
        <f aca="false">IF(A108="","",IF(SUMPRODUCT(--EXACT($A$2:$A$201,A108))&gt;1,"Duplicate ID",IF(AND(B108&lt;&gt;"Measurement",B108&lt;&gt;"State or alarm"),"Kind must be Measurement or State or alarm",IF(SUMPRODUCT(--EXACT('2 Assets'!$A$2:$A$201,C108))=0,"Asset is not on the Assets sheet",IF(SUMPRODUCT(--EXACT('1 Measurement types'!$A$2:$A$201,D108))=0,"Not on the Measurement types sheet",IF(INDEX('1 Measurement types'!$B$2:$B$201,MATCH(D108,'1 Measurement types'!$A$2:$A$201,0))&lt;&gt;B108,"Kind does not match its measurement type",IF(AND(B108="Measurement",E108=""),"A measurement needs a unit",IF(AND(B108="Measurement",NOT(EXACT(E108,INDEX('1 Measurement types'!$C$2:$C$201,MATCH(D108,'1 Measurement types'!$A$2:$A$201,0))))),"Unit does not match its measurement type",IF(F108="","Give it a short name","ok")))))))))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10" t="str">
        <f aca="false">IF(A109="","",IF(SUMPRODUCT(--EXACT('3 Bindings'!$A$2:$A$201,A109))&gt;0,"yes","not yet"))</f>
        <v/>
      </c>
      <c r="I109" s="10" t="str">
        <f aca="false">IF(A109="","",IF(SUMPRODUCT(--EXACT($A$2:$A$201,A109))&gt;1,"Duplicate ID",IF(AND(B109&lt;&gt;"Measurement",B109&lt;&gt;"State or alarm"),"Kind must be Measurement or State or alarm",IF(SUMPRODUCT(--EXACT('2 Assets'!$A$2:$A$201,C109))=0,"Asset is not on the Assets sheet",IF(SUMPRODUCT(--EXACT('1 Measurement types'!$A$2:$A$201,D109))=0,"Not on the Measurement types sheet",IF(INDEX('1 Measurement types'!$B$2:$B$201,MATCH(D109,'1 Measurement types'!$A$2:$A$201,0))&lt;&gt;B109,"Kind does not match its measurement type",IF(AND(B109="Measurement",E109=""),"A measurement needs a unit",IF(AND(B109="Measurement",NOT(EXACT(E109,INDEX('1 Measurement types'!$C$2:$C$201,MATCH(D109,'1 Measurement types'!$A$2:$A$201,0))))),"Unit does not match its measurement type",IF(F109="","Give it a short name","ok")))))))))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10" t="str">
        <f aca="false">IF(A110="","",IF(SUMPRODUCT(--EXACT('3 Bindings'!$A$2:$A$201,A110))&gt;0,"yes","not yet"))</f>
        <v/>
      </c>
      <c r="I110" s="10" t="str">
        <f aca="false">IF(A110="","",IF(SUMPRODUCT(--EXACT($A$2:$A$201,A110))&gt;1,"Duplicate ID",IF(AND(B110&lt;&gt;"Measurement",B110&lt;&gt;"State or alarm"),"Kind must be Measurement or State or alarm",IF(SUMPRODUCT(--EXACT('2 Assets'!$A$2:$A$201,C110))=0,"Asset is not on the Assets sheet",IF(SUMPRODUCT(--EXACT('1 Measurement types'!$A$2:$A$201,D110))=0,"Not on the Measurement types sheet",IF(INDEX('1 Measurement types'!$B$2:$B$201,MATCH(D110,'1 Measurement types'!$A$2:$A$201,0))&lt;&gt;B110,"Kind does not match its measurement type",IF(AND(B110="Measurement",E110=""),"A measurement needs a unit",IF(AND(B110="Measurement",NOT(EXACT(E110,INDEX('1 Measurement types'!$C$2:$C$201,MATCH(D110,'1 Measurement types'!$A$2:$A$201,0))))),"Unit does not match its measurement type",IF(F110="","Give it a short name","ok")))))))))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10" t="str">
        <f aca="false">IF(A111="","",IF(SUMPRODUCT(--EXACT('3 Bindings'!$A$2:$A$201,A111))&gt;0,"yes","not yet"))</f>
        <v/>
      </c>
      <c r="I111" s="10" t="str">
        <f aca="false">IF(A111="","",IF(SUMPRODUCT(--EXACT($A$2:$A$201,A111))&gt;1,"Duplicate ID",IF(AND(B111&lt;&gt;"Measurement",B111&lt;&gt;"State or alarm"),"Kind must be Measurement or State or alarm",IF(SUMPRODUCT(--EXACT('2 Assets'!$A$2:$A$201,C111))=0,"Asset is not on the Assets sheet",IF(SUMPRODUCT(--EXACT('1 Measurement types'!$A$2:$A$201,D111))=0,"Not on the Measurement types sheet",IF(INDEX('1 Measurement types'!$B$2:$B$201,MATCH(D111,'1 Measurement types'!$A$2:$A$201,0))&lt;&gt;B111,"Kind does not match its measurement type",IF(AND(B111="Measurement",E111=""),"A measurement needs a unit",IF(AND(B111="Measurement",NOT(EXACT(E111,INDEX('1 Measurement types'!$C$2:$C$201,MATCH(D111,'1 Measurement types'!$A$2:$A$201,0))))),"Unit does not match its measurement type",IF(F111="","Give it a short name","ok")))))))))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10" t="str">
        <f aca="false">IF(A112="","",IF(SUMPRODUCT(--EXACT('3 Bindings'!$A$2:$A$201,A112))&gt;0,"yes","not yet"))</f>
        <v/>
      </c>
      <c r="I112" s="10" t="str">
        <f aca="false">IF(A112="","",IF(SUMPRODUCT(--EXACT($A$2:$A$201,A112))&gt;1,"Duplicate ID",IF(AND(B112&lt;&gt;"Measurement",B112&lt;&gt;"State or alarm"),"Kind must be Measurement or State or alarm",IF(SUMPRODUCT(--EXACT('2 Assets'!$A$2:$A$201,C112))=0,"Asset is not on the Assets sheet",IF(SUMPRODUCT(--EXACT('1 Measurement types'!$A$2:$A$201,D112))=0,"Not on the Measurement types sheet",IF(INDEX('1 Measurement types'!$B$2:$B$201,MATCH(D112,'1 Measurement types'!$A$2:$A$201,0))&lt;&gt;B112,"Kind does not match its measurement type",IF(AND(B112="Measurement",E112=""),"A measurement needs a unit",IF(AND(B112="Measurement",NOT(EXACT(E112,INDEX('1 Measurement types'!$C$2:$C$201,MATCH(D112,'1 Measurement types'!$A$2:$A$201,0))))),"Unit does not match its measurement type",IF(F112="","Give it a short name","ok")))))))))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10" t="str">
        <f aca="false">IF(A113="","",IF(SUMPRODUCT(--EXACT('3 Bindings'!$A$2:$A$201,A113))&gt;0,"yes","not yet"))</f>
        <v/>
      </c>
      <c r="I113" s="10" t="str">
        <f aca="false">IF(A113="","",IF(SUMPRODUCT(--EXACT($A$2:$A$201,A113))&gt;1,"Duplicate ID",IF(AND(B113&lt;&gt;"Measurement",B113&lt;&gt;"State or alarm"),"Kind must be Measurement or State or alarm",IF(SUMPRODUCT(--EXACT('2 Assets'!$A$2:$A$201,C113))=0,"Asset is not on the Assets sheet",IF(SUMPRODUCT(--EXACT('1 Measurement types'!$A$2:$A$201,D113))=0,"Not on the Measurement types sheet",IF(INDEX('1 Measurement types'!$B$2:$B$201,MATCH(D113,'1 Measurement types'!$A$2:$A$201,0))&lt;&gt;B113,"Kind does not match its measurement type",IF(AND(B113="Measurement",E113=""),"A measurement needs a unit",IF(AND(B113="Measurement",NOT(EXACT(E113,INDEX('1 Measurement types'!$C$2:$C$201,MATCH(D113,'1 Measurement types'!$A$2:$A$201,0))))),"Unit does not match its measurement type",IF(F113="","Give it a short name","ok")))))))))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10" t="str">
        <f aca="false">IF(A114="","",IF(SUMPRODUCT(--EXACT('3 Bindings'!$A$2:$A$201,A114))&gt;0,"yes","not yet"))</f>
        <v/>
      </c>
      <c r="I114" s="10" t="str">
        <f aca="false">IF(A114="","",IF(SUMPRODUCT(--EXACT($A$2:$A$201,A114))&gt;1,"Duplicate ID",IF(AND(B114&lt;&gt;"Measurement",B114&lt;&gt;"State or alarm"),"Kind must be Measurement or State or alarm",IF(SUMPRODUCT(--EXACT('2 Assets'!$A$2:$A$201,C114))=0,"Asset is not on the Assets sheet",IF(SUMPRODUCT(--EXACT('1 Measurement types'!$A$2:$A$201,D114))=0,"Not on the Measurement types sheet",IF(INDEX('1 Measurement types'!$B$2:$B$201,MATCH(D114,'1 Measurement types'!$A$2:$A$201,0))&lt;&gt;B114,"Kind does not match its measurement type",IF(AND(B114="Measurement",E114=""),"A measurement needs a unit",IF(AND(B114="Measurement",NOT(EXACT(E114,INDEX('1 Measurement types'!$C$2:$C$201,MATCH(D114,'1 Measurement types'!$A$2:$A$201,0))))),"Unit does not match its measurement type",IF(F114="","Give it a short name","ok")))))))))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10" t="str">
        <f aca="false">IF(A115="","",IF(SUMPRODUCT(--EXACT('3 Bindings'!$A$2:$A$201,A115))&gt;0,"yes","not yet"))</f>
        <v/>
      </c>
      <c r="I115" s="10" t="str">
        <f aca="false">IF(A115="","",IF(SUMPRODUCT(--EXACT($A$2:$A$201,A115))&gt;1,"Duplicate ID",IF(AND(B115&lt;&gt;"Measurement",B115&lt;&gt;"State or alarm"),"Kind must be Measurement or State or alarm",IF(SUMPRODUCT(--EXACT('2 Assets'!$A$2:$A$201,C115))=0,"Asset is not on the Assets sheet",IF(SUMPRODUCT(--EXACT('1 Measurement types'!$A$2:$A$201,D115))=0,"Not on the Measurement types sheet",IF(INDEX('1 Measurement types'!$B$2:$B$201,MATCH(D115,'1 Measurement types'!$A$2:$A$201,0))&lt;&gt;B115,"Kind does not match its measurement type",IF(AND(B115="Measurement",E115=""),"A measurement needs a unit",IF(AND(B115="Measurement",NOT(EXACT(E115,INDEX('1 Measurement types'!$C$2:$C$201,MATCH(D115,'1 Measurement types'!$A$2:$A$201,0))))),"Unit does not match its measurement type",IF(F115="","Give it a short name","ok")))))))))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10" t="str">
        <f aca="false">IF(A116="","",IF(SUMPRODUCT(--EXACT('3 Bindings'!$A$2:$A$201,A116))&gt;0,"yes","not yet"))</f>
        <v/>
      </c>
      <c r="I116" s="10" t="str">
        <f aca="false">IF(A116="","",IF(SUMPRODUCT(--EXACT($A$2:$A$201,A116))&gt;1,"Duplicate ID",IF(AND(B116&lt;&gt;"Measurement",B116&lt;&gt;"State or alarm"),"Kind must be Measurement or State or alarm",IF(SUMPRODUCT(--EXACT('2 Assets'!$A$2:$A$201,C116))=0,"Asset is not on the Assets sheet",IF(SUMPRODUCT(--EXACT('1 Measurement types'!$A$2:$A$201,D116))=0,"Not on the Measurement types sheet",IF(INDEX('1 Measurement types'!$B$2:$B$201,MATCH(D116,'1 Measurement types'!$A$2:$A$201,0))&lt;&gt;B116,"Kind does not match its measurement type",IF(AND(B116="Measurement",E116=""),"A measurement needs a unit",IF(AND(B116="Measurement",NOT(EXACT(E116,INDEX('1 Measurement types'!$C$2:$C$201,MATCH(D116,'1 Measurement types'!$A$2:$A$201,0))))),"Unit does not match its measurement type",IF(F116="","Give it a short name","ok")))))))))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10" t="str">
        <f aca="false">IF(A117="","",IF(SUMPRODUCT(--EXACT('3 Bindings'!$A$2:$A$201,A117))&gt;0,"yes","not yet"))</f>
        <v/>
      </c>
      <c r="I117" s="10" t="str">
        <f aca="false">IF(A117="","",IF(SUMPRODUCT(--EXACT($A$2:$A$201,A117))&gt;1,"Duplicate ID",IF(AND(B117&lt;&gt;"Measurement",B117&lt;&gt;"State or alarm"),"Kind must be Measurement or State or alarm",IF(SUMPRODUCT(--EXACT('2 Assets'!$A$2:$A$201,C117))=0,"Asset is not on the Assets sheet",IF(SUMPRODUCT(--EXACT('1 Measurement types'!$A$2:$A$201,D117))=0,"Not on the Measurement types sheet",IF(INDEX('1 Measurement types'!$B$2:$B$201,MATCH(D117,'1 Measurement types'!$A$2:$A$201,0))&lt;&gt;B117,"Kind does not match its measurement type",IF(AND(B117="Measurement",E117=""),"A measurement needs a unit",IF(AND(B117="Measurement",NOT(EXACT(E117,INDEX('1 Measurement types'!$C$2:$C$201,MATCH(D117,'1 Measurement types'!$A$2:$A$201,0))))),"Unit does not match its measurement type",IF(F117="","Give it a short name","ok")))))))))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10" t="str">
        <f aca="false">IF(A118="","",IF(SUMPRODUCT(--EXACT('3 Bindings'!$A$2:$A$201,A118))&gt;0,"yes","not yet"))</f>
        <v/>
      </c>
      <c r="I118" s="10" t="str">
        <f aca="false">IF(A118="","",IF(SUMPRODUCT(--EXACT($A$2:$A$201,A118))&gt;1,"Duplicate ID",IF(AND(B118&lt;&gt;"Measurement",B118&lt;&gt;"State or alarm"),"Kind must be Measurement or State or alarm",IF(SUMPRODUCT(--EXACT('2 Assets'!$A$2:$A$201,C118))=0,"Asset is not on the Assets sheet",IF(SUMPRODUCT(--EXACT('1 Measurement types'!$A$2:$A$201,D118))=0,"Not on the Measurement types sheet",IF(INDEX('1 Measurement types'!$B$2:$B$201,MATCH(D118,'1 Measurement types'!$A$2:$A$201,0))&lt;&gt;B118,"Kind does not match its measurement type",IF(AND(B118="Measurement",E118=""),"A measurement needs a unit",IF(AND(B118="Measurement",NOT(EXACT(E118,INDEX('1 Measurement types'!$C$2:$C$201,MATCH(D118,'1 Measurement types'!$A$2:$A$201,0))))),"Unit does not match its measurement type",IF(F118="","Give it a short name","ok")))))))))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10" t="str">
        <f aca="false">IF(A119="","",IF(SUMPRODUCT(--EXACT('3 Bindings'!$A$2:$A$201,A119))&gt;0,"yes","not yet"))</f>
        <v/>
      </c>
      <c r="I119" s="10" t="str">
        <f aca="false">IF(A119="","",IF(SUMPRODUCT(--EXACT($A$2:$A$201,A119))&gt;1,"Duplicate ID",IF(AND(B119&lt;&gt;"Measurement",B119&lt;&gt;"State or alarm"),"Kind must be Measurement or State or alarm",IF(SUMPRODUCT(--EXACT('2 Assets'!$A$2:$A$201,C119))=0,"Asset is not on the Assets sheet",IF(SUMPRODUCT(--EXACT('1 Measurement types'!$A$2:$A$201,D119))=0,"Not on the Measurement types sheet",IF(INDEX('1 Measurement types'!$B$2:$B$201,MATCH(D119,'1 Measurement types'!$A$2:$A$201,0))&lt;&gt;B119,"Kind does not match its measurement type",IF(AND(B119="Measurement",E119=""),"A measurement needs a unit",IF(AND(B119="Measurement",NOT(EXACT(E119,INDEX('1 Measurement types'!$C$2:$C$201,MATCH(D119,'1 Measurement types'!$A$2:$A$201,0))))),"Unit does not match its measurement type",IF(F119="","Give it a short name","ok")))))))))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10" t="str">
        <f aca="false">IF(A120="","",IF(SUMPRODUCT(--EXACT('3 Bindings'!$A$2:$A$201,A120))&gt;0,"yes","not yet"))</f>
        <v/>
      </c>
      <c r="I120" s="10" t="str">
        <f aca="false">IF(A120="","",IF(SUMPRODUCT(--EXACT($A$2:$A$201,A120))&gt;1,"Duplicate ID",IF(AND(B120&lt;&gt;"Measurement",B120&lt;&gt;"State or alarm"),"Kind must be Measurement or State or alarm",IF(SUMPRODUCT(--EXACT('2 Assets'!$A$2:$A$201,C120))=0,"Asset is not on the Assets sheet",IF(SUMPRODUCT(--EXACT('1 Measurement types'!$A$2:$A$201,D120))=0,"Not on the Measurement types sheet",IF(INDEX('1 Measurement types'!$B$2:$B$201,MATCH(D120,'1 Measurement types'!$A$2:$A$201,0))&lt;&gt;B120,"Kind does not match its measurement type",IF(AND(B120="Measurement",E120=""),"A measurement needs a unit",IF(AND(B120="Measurement",NOT(EXACT(E120,INDEX('1 Measurement types'!$C$2:$C$201,MATCH(D120,'1 Measurement types'!$A$2:$A$201,0))))),"Unit does not match its measurement type",IF(F120="","Give it a short name","ok")))))))))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10" t="str">
        <f aca="false">IF(A121="","",IF(SUMPRODUCT(--EXACT('3 Bindings'!$A$2:$A$201,A121))&gt;0,"yes","not yet"))</f>
        <v/>
      </c>
      <c r="I121" s="10" t="str">
        <f aca="false">IF(A121="","",IF(SUMPRODUCT(--EXACT($A$2:$A$201,A121))&gt;1,"Duplicate ID",IF(AND(B121&lt;&gt;"Measurement",B121&lt;&gt;"State or alarm"),"Kind must be Measurement or State or alarm",IF(SUMPRODUCT(--EXACT('2 Assets'!$A$2:$A$201,C121))=0,"Asset is not on the Assets sheet",IF(SUMPRODUCT(--EXACT('1 Measurement types'!$A$2:$A$201,D121))=0,"Not on the Measurement types sheet",IF(INDEX('1 Measurement types'!$B$2:$B$201,MATCH(D121,'1 Measurement types'!$A$2:$A$201,0))&lt;&gt;B121,"Kind does not match its measurement type",IF(AND(B121="Measurement",E121=""),"A measurement needs a unit",IF(AND(B121="Measurement",NOT(EXACT(E121,INDEX('1 Measurement types'!$C$2:$C$201,MATCH(D121,'1 Measurement types'!$A$2:$A$201,0))))),"Unit does not match its measurement type",IF(F121="","Give it a short name","ok")))))))))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10" t="str">
        <f aca="false">IF(A122="","",IF(SUMPRODUCT(--EXACT('3 Bindings'!$A$2:$A$201,A122))&gt;0,"yes","not yet"))</f>
        <v/>
      </c>
      <c r="I122" s="10" t="str">
        <f aca="false">IF(A122="","",IF(SUMPRODUCT(--EXACT($A$2:$A$201,A122))&gt;1,"Duplicate ID",IF(AND(B122&lt;&gt;"Measurement",B122&lt;&gt;"State or alarm"),"Kind must be Measurement or State or alarm",IF(SUMPRODUCT(--EXACT('2 Assets'!$A$2:$A$201,C122))=0,"Asset is not on the Assets sheet",IF(SUMPRODUCT(--EXACT('1 Measurement types'!$A$2:$A$201,D122))=0,"Not on the Measurement types sheet",IF(INDEX('1 Measurement types'!$B$2:$B$201,MATCH(D122,'1 Measurement types'!$A$2:$A$201,0))&lt;&gt;B122,"Kind does not match its measurement type",IF(AND(B122="Measurement",E122=""),"A measurement needs a unit",IF(AND(B122="Measurement",NOT(EXACT(E122,INDEX('1 Measurement types'!$C$2:$C$201,MATCH(D122,'1 Measurement types'!$A$2:$A$201,0))))),"Unit does not match its measurement type",IF(F122="","Give it a short name","ok")))))))))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10" t="str">
        <f aca="false">IF(A123="","",IF(SUMPRODUCT(--EXACT('3 Bindings'!$A$2:$A$201,A123))&gt;0,"yes","not yet"))</f>
        <v/>
      </c>
      <c r="I123" s="10" t="str">
        <f aca="false">IF(A123="","",IF(SUMPRODUCT(--EXACT($A$2:$A$201,A123))&gt;1,"Duplicate ID",IF(AND(B123&lt;&gt;"Measurement",B123&lt;&gt;"State or alarm"),"Kind must be Measurement or State or alarm",IF(SUMPRODUCT(--EXACT('2 Assets'!$A$2:$A$201,C123))=0,"Asset is not on the Assets sheet",IF(SUMPRODUCT(--EXACT('1 Measurement types'!$A$2:$A$201,D123))=0,"Not on the Measurement types sheet",IF(INDEX('1 Measurement types'!$B$2:$B$201,MATCH(D123,'1 Measurement types'!$A$2:$A$201,0))&lt;&gt;B123,"Kind does not match its measurement type",IF(AND(B123="Measurement",E123=""),"A measurement needs a unit",IF(AND(B123="Measurement",NOT(EXACT(E123,INDEX('1 Measurement types'!$C$2:$C$201,MATCH(D123,'1 Measurement types'!$A$2:$A$201,0))))),"Unit does not match its measurement type",IF(F123="","Give it a short name","ok")))))))))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10" t="str">
        <f aca="false">IF(A124="","",IF(SUMPRODUCT(--EXACT('3 Bindings'!$A$2:$A$201,A124))&gt;0,"yes","not yet"))</f>
        <v/>
      </c>
      <c r="I124" s="10" t="str">
        <f aca="false">IF(A124="","",IF(SUMPRODUCT(--EXACT($A$2:$A$201,A124))&gt;1,"Duplicate ID",IF(AND(B124&lt;&gt;"Measurement",B124&lt;&gt;"State or alarm"),"Kind must be Measurement or State or alarm",IF(SUMPRODUCT(--EXACT('2 Assets'!$A$2:$A$201,C124))=0,"Asset is not on the Assets sheet",IF(SUMPRODUCT(--EXACT('1 Measurement types'!$A$2:$A$201,D124))=0,"Not on the Measurement types sheet",IF(INDEX('1 Measurement types'!$B$2:$B$201,MATCH(D124,'1 Measurement types'!$A$2:$A$201,0))&lt;&gt;B124,"Kind does not match its measurement type",IF(AND(B124="Measurement",E124=""),"A measurement needs a unit",IF(AND(B124="Measurement",NOT(EXACT(E124,INDEX('1 Measurement types'!$C$2:$C$201,MATCH(D124,'1 Measurement types'!$A$2:$A$201,0))))),"Unit does not match its measurement type",IF(F124="","Give it a short name","ok")))))))))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10" t="str">
        <f aca="false">IF(A125="","",IF(SUMPRODUCT(--EXACT('3 Bindings'!$A$2:$A$201,A125))&gt;0,"yes","not yet"))</f>
        <v/>
      </c>
      <c r="I125" s="10" t="str">
        <f aca="false">IF(A125="","",IF(SUMPRODUCT(--EXACT($A$2:$A$201,A125))&gt;1,"Duplicate ID",IF(AND(B125&lt;&gt;"Measurement",B125&lt;&gt;"State or alarm"),"Kind must be Measurement or State or alarm",IF(SUMPRODUCT(--EXACT('2 Assets'!$A$2:$A$201,C125))=0,"Asset is not on the Assets sheet",IF(SUMPRODUCT(--EXACT('1 Measurement types'!$A$2:$A$201,D125))=0,"Not on the Measurement types sheet",IF(INDEX('1 Measurement types'!$B$2:$B$201,MATCH(D125,'1 Measurement types'!$A$2:$A$201,0))&lt;&gt;B125,"Kind does not match its measurement type",IF(AND(B125="Measurement",E125=""),"A measurement needs a unit",IF(AND(B125="Measurement",NOT(EXACT(E125,INDEX('1 Measurement types'!$C$2:$C$201,MATCH(D125,'1 Measurement types'!$A$2:$A$201,0))))),"Unit does not match its measurement type",IF(F125="","Give it a short name","ok")))))))))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10" t="str">
        <f aca="false">IF(A126="","",IF(SUMPRODUCT(--EXACT('3 Bindings'!$A$2:$A$201,A126))&gt;0,"yes","not yet"))</f>
        <v/>
      </c>
      <c r="I126" s="10" t="str">
        <f aca="false">IF(A126="","",IF(SUMPRODUCT(--EXACT($A$2:$A$201,A126))&gt;1,"Duplicate ID",IF(AND(B126&lt;&gt;"Measurement",B126&lt;&gt;"State or alarm"),"Kind must be Measurement or State or alarm",IF(SUMPRODUCT(--EXACT('2 Assets'!$A$2:$A$201,C126))=0,"Asset is not on the Assets sheet",IF(SUMPRODUCT(--EXACT('1 Measurement types'!$A$2:$A$201,D126))=0,"Not on the Measurement types sheet",IF(INDEX('1 Measurement types'!$B$2:$B$201,MATCH(D126,'1 Measurement types'!$A$2:$A$201,0))&lt;&gt;B126,"Kind does not match its measurement type",IF(AND(B126="Measurement",E126=""),"A measurement needs a unit",IF(AND(B126="Measurement",NOT(EXACT(E126,INDEX('1 Measurement types'!$C$2:$C$201,MATCH(D126,'1 Measurement types'!$A$2:$A$201,0))))),"Unit does not match its measurement type",IF(F126="","Give it a short name","ok")))))))))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10" t="str">
        <f aca="false">IF(A127="","",IF(SUMPRODUCT(--EXACT('3 Bindings'!$A$2:$A$201,A127))&gt;0,"yes","not yet"))</f>
        <v/>
      </c>
      <c r="I127" s="10" t="str">
        <f aca="false">IF(A127="","",IF(SUMPRODUCT(--EXACT($A$2:$A$201,A127))&gt;1,"Duplicate ID",IF(AND(B127&lt;&gt;"Measurement",B127&lt;&gt;"State or alarm"),"Kind must be Measurement or State or alarm",IF(SUMPRODUCT(--EXACT('2 Assets'!$A$2:$A$201,C127))=0,"Asset is not on the Assets sheet",IF(SUMPRODUCT(--EXACT('1 Measurement types'!$A$2:$A$201,D127))=0,"Not on the Measurement types sheet",IF(INDEX('1 Measurement types'!$B$2:$B$201,MATCH(D127,'1 Measurement types'!$A$2:$A$201,0))&lt;&gt;B127,"Kind does not match its measurement type",IF(AND(B127="Measurement",E127=""),"A measurement needs a unit",IF(AND(B127="Measurement",NOT(EXACT(E127,INDEX('1 Measurement types'!$C$2:$C$201,MATCH(D127,'1 Measurement types'!$A$2:$A$201,0))))),"Unit does not match its measurement type",IF(F127="","Give it a short name","ok")))))))))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10" t="str">
        <f aca="false">IF(A128="","",IF(SUMPRODUCT(--EXACT('3 Bindings'!$A$2:$A$201,A128))&gt;0,"yes","not yet"))</f>
        <v/>
      </c>
      <c r="I128" s="10" t="str">
        <f aca="false">IF(A128="","",IF(SUMPRODUCT(--EXACT($A$2:$A$201,A128))&gt;1,"Duplicate ID",IF(AND(B128&lt;&gt;"Measurement",B128&lt;&gt;"State or alarm"),"Kind must be Measurement or State or alarm",IF(SUMPRODUCT(--EXACT('2 Assets'!$A$2:$A$201,C128))=0,"Asset is not on the Assets sheet",IF(SUMPRODUCT(--EXACT('1 Measurement types'!$A$2:$A$201,D128))=0,"Not on the Measurement types sheet",IF(INDEX('1 Measurement types'!$B$2:$B$201,MATCH(D128,'1 Measurement types'!$A$2:$A$201,0))&lt;&gt;B128,"Kind does not match its measurement type",IF(AND(B128="Measurement",E128=""),"A measurement needs a unit",IF(AND(B128="Measurement",NOT(EXACT(E128,INDEX('1 Measurement types'!$C$2:$C$201,MATCH(D128,'1 Measurement types'!$A$2:$A$201,0))))),"Unit does not match its measurement type",IF(F128="","Give it a short name","ok")))))))))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10" t="str">
        <f aca="false">IF(A129="","",IF(SUMPRODUCT(--EXACT('3 Bindings'!$A$2:$A$201,A129))&gt;0,"yes","not yet"))</f>
        <v/>
      </c>
      <c r="I129" s="10" t="str">
        <f aca="false">IF(A129="","",IF(SUMPRODUCT(--EXACT($A$2:$A$201,A129))&gt;1,"Duplicate ID",IF(AND(B129&lt;&gt;"Measurement",B129&lt;&gt;"State or alarm"),"Kind must be Measurement or State or alarm",IF(SUMPRODUCT(--EXACT('2 Assets'!$A$2:$A$201,C129))=0,"Asset is not on the Assets sheet",IF(SUMPRODUCT(--EXACT('1 Measurement types'!$A$2:$A$201,D129))=0,"Not on the Measurement types sheet",IF(INDEX('1 Measurement types'!$B$2:$B$201,MATCH(D129,'1 Measurement types'!$A$2:$A$201,0))&lt;&gt;B129,"Kind does not match its measurement type",IF(AND(B129="Measurement",E129=""),"A measurement needs a unit",IF(AND(B129="Measurement",NOT(EXACT(E129,INDEX('1 Measurement types'!$C$2:$C$201,MATCH(D129,'1 Measurement types'!$A$2:$A$201,0))))),"Unit does not match its measurement type",IF(F129="","Give it a short name","ok")))))))))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10" t="str">
        <f aca="false">IF(A130="","",IF(SUMPRODUCT(--EXACT('3 Bindings'!$A$2:$A$201,A130))&gt;0,"yes","not yet"))</f>
        <v/>
      </c>
      <c r="I130" s="10" t="str">
        <f aca="false">IF(A130="","",IF(SUMPRODUCT(--EXACT($A$2:$A$201,A130))&gt;1,"Duplicate ID",IF(AND(B130&lt;&gt;"Measurement",B130&lt;&gt;"State or alarm"),"Kind must be Measurement or State or alarm",IF(SUMPRODUCT(--EXACT('2 Assets'!$A$2:$A$201,C130))=0,"Asset is not on the Assets sheet",IF(SUMPRODUCT(--EXACT('1 Measurement types'!$A$2:$A$201,D130))=0,"Not on the Measurement types sheet",IF(INDEX('1 Measurement types'!$B$2:$B$201,MATCH(D130,'1 Measurement types'!$A$2:$A$201,0))&lt;&gt;B130,"Kind does not match its measurement type",IF(AND(B130="Measurement",E130=""),"A measurement needs a unit",IF(AND(B130="Measurement",NOT(EXACT(E130,INDEX('1 Measurement types'!$C$2:$C$201,MATCH(D130,'1 Measurement types'!$A$2:$A$201,0))))),"Unit does not match its measurement type",IF(F130="","Give it a short name","ok")))))))))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10" t="str">
        <f aca="false">IF(A131="","",IF(SUMPRODUCT(--EXACT('3 Bindings'!$A$2:$A$201,A131))&gt;0,"yes","not yet"))</f>
        <v/>
      </c>
      <c r="I131" s="10" t="str">
        <f aca="false">IF(A131="","",IF(SUMPRODUCT(--EXACT($A$2:$A$201,A131))&gt;1,"Duplicate ID",IF(AND(B131&lt;&gt;"Measurement",B131&lt;&gt;"State or alarm"),"Kind must be Measurement or State or alarm",IF(SUMPRODUCT(--EXACT('2 Assets'!$A$2:$A$201,C131))=0,"Asset is not on the Assets sheet",IF(SUMPRODUCT(--EXACT('1 Measurement types'!$A$2:$A$201,D131))=0,"Not on the Measurement types sheet",IF(INDEX('1 Measurement types'!$B$2:$B$201,MATCH(D131,'1 Measurement types'!$A$2:$A$201,0))&lt;&gt;B131,"Kind does not match its measurement type",IF(AND(B131="Measurement",E131=""),"A measurement needs a unit",IF(AND(B131="Measurement",NOT(EXACT(E131,INDEX('1 Measurement types'!$C$2:$C$201,MATCH(D131,'1 Measurement types'!$A$2:$A$201,0))))),"Unit does not match its measurement type",IF(F131="","Give it a short name","ok")))))))))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10" t="str">
        <f aca="false">IF(A132="","",IF(SUMPRODUCT(--EXACT('3 Bindings'!$A$2:$A$201,A132))&gt;0,"yes","not yet"))</f>
        <v/>
      </c>
      <c r="I132" s="10" t="str">
        <f aca="false">IF(A132="","",IF(SUMPRODUCT(--EXACT($A$2:$A$201,A132))&gt;1,"Duplicate ID",IF(AND(B132&lt;&gt;"Measurement",B132&lt;&gt;"State or alarm"),"Kind must be Measurement or State or alarm",IF(SUMPRODUCT(--EXACT('2 Assets'!$A$2:$A$201,C132))=0,"Asset is not on the Assets sheet",IF(SUMPRODUCT(--EXACT('1 Measurement types'!$A$2:$A$201,D132))=0,"Not on the Measurement types sheet",IF(INDEX('1 Measurement types'!$B$2:$B$201,MATCH(D132,'1 Measurement types'!$A$2:$A$201,0))&lt;&gt;B132,"Kind does not match its measurement type",IF(AND(B132="Measurement",E132=""),"A measurement needs a unit",IF(AND(B132="Measurement",NOT(EXACT(E132,INDEX('1 Measurement types'!$C$2:$C$201,MATCH(D132,'1 Measurement types'!$A$2:$A$201,0))))),"Unit does not match its measurement type",IF(F132="","Give it a short name","ok")))))))))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10" t="str">
        <f aca="false">IF(A133="","",IF(SUMPRODUCT(--EXACT('3 Bindings'!$A$2:$A$201,A133))&gt;0,"yes","not yet"))</f>
        <v/>
      </c>
      <c r="I133" s="10" t="str">
        <f aca="false">IF(A133="","",IF(SUMPRODUCT(--EXACT($A$2:$A$201,A133))&gt;1,"Duplicate ID",IF(AND(B133&lt;&gt;"Measurement",B133&lt;&gt;"State or alarm"),"Kind must be Measurement or State or alarm",IF(SUMPRODUCT(--EXACT('2 Assets'!$A$2:$A$201,C133))=0,"Asset is not on the Assets sheet",IF(SUMPRODUCT(--EXACT('1 Measurement types'!$A$2:$A$201,D133))=0,"Not on the Measurement types sheet",IF(INDEX('1 Measurement types'!$B$2:$B$201,MATCH(D133,'1 Measurement types'!$A$2:$A$201,0))&lt;&gt;B133,"Kind does not match its measurement type",IF(AND(B133="Measurement",E133=""),"A measurement needs a unit",IF(AND(B133="Measurement",NOT(EXACT(E133,INDEX('1 Measurement types'!$C$2:$C$201,MATCH(D133,'1 Measurement types'!$A$2:$A$201,0))))),"Unit does not match its measurement type",IF(F133="","Give it a short name","ok")))))))))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10" t="str">
        <f aca="false">IF(A134="","",IF(SUMPRODUCT(--EXACT('3 Bindings'!$A$2:$A$201,A134))&gt;0,"yes","not yet"))</f>
        <v/>
      </c>
      <c r="I134" s="10" t="str">
        <f aca="false">IF(A134="","",IF(SUMPRODUCT(--EXACT($A$2:$A$201,A134))&gt;1,"Duplicate ID",IF(AND(B134&lt;&gt;"Measurement",B134&lt;&gt;"State or alarm"),"Kind must be Measurement or State or alarm",IF(SUMPRODUCT(--EXACT('2 Assets'!$A$2:$A$201,C134))=0,"Asset is not on the Assets sheet",IF(SUMPRODUCT(--EXACT('1 Measurement types'!$A$2:$A$201,D134))=0,"Not on the Measurement types sheet",IF(INDEX('1 Measurement types'!$B$2:$B$201,MATCH(D134,'1 Measurement types'!$A$2:$A$201,0))&lt;&gt;B134,"Kind does not match its measurement type",IF(AND(B134="Measurement",E134=""),"A measurement needs a unit",IF(AND(B134="Measurement",NOT(EXACT(E134,INDEX('1 Measurement types'!$C$2:$C$201,MATCH(D134,'1 Measurement types'!$A$2:$A$201,0))))),"Unit does not match its measurement type",IF(F134="","Give it a short name","ok")))))))))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10" t="str">
        <f aca="false">IF(A135="","",IF(SUMPRODUCT(--EXACT('3 Bindings'!$A$2:$A$201,A135))&gt;0,"yes","not yet"))</f>
        <v/>
      </c>
      <c r="I135" s="10" t="str">
        <f aca="false">IF(A135="","",IF(SUMPRODUCT(--EXACT($A$2:$A$201,A135))&gt;1,"Duplicate ID",IF(AND(B135&lt;&gt;"Measurement",B135&lt;&gt;"State or alarm"),"Kind must be Measurement or State or alarm",IF(SUMPRODUCT(--EXACT('2 Assets'!$A$2:$A$201,C135))=0,"Asset is not on the Assets sheet",IF(SUMPRODUCT(--EXACT('1 Measurement types'!$A$2:$A$201,D135))=0,"Not on the Measurement types sheet",IF(INDEX('1 Measurement types'!$B$2:$B$201,MATCH(D135,'1 Measurement types'!$A$2:$A$201,0))&lt;&gt;B135,"Kind does not match its measurement type",IF(AND(B135="Measurement",E135=""),"A measurement needs a unit",IF(AND(B135="Measurement",NOT(EXACT(E135,INDEX('1 Measurement types'!$C$2:$C$201,MATCH(D135,'1 Measurement types'!$A$2:$A$201,0))))),"Unit does not match its measurement type",IF(F135="","Give it a short name","ok")))))))))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10" t="str">
        <f aca="false">IF(A136="","",IF(SUMPRODUCT(--EXACT('3 Bindings'!$A$2:$A$201,A136))&gt;0,"yes","not yet"))</f>
        <v/>
      </c>
      <c r="I136" s="10" t="str">
        <f aca="false">IF(A136="","",IF(SUMPRODUCT(--EXACT($A$2:$A$201,A136))&gt;1,"Duplicate ID",IF(AND(B136&lt;&gt;"Measurement",B136&lt;&gt;"State or alarm"),"Kind must be Measurement or State or alarm",IF(SUMPRODUCT(--EXACT('2 Assets'!$A$2:$A$201,C136))=0,"Asset is not on the Assets sheet",IF(SUMPRODUCT(--EXACT('1 Measurement types'!$A$2:$A$201,D136))=0,"Not on the Measurement types sheet",IF(INDEX('1 Measurement types'!$B$2:$B$201,MATCH(D136,'1 Measurement types'!$A$2:$A$201,0))&lt;&gt;B136,"Kind does not match its measurement type",IF(AND(B136="Measurement",E136=""),"A measurement needs a unit",IF(AND(B136="Measurement",NOT(EXACT(E136,INDEX('1 Measurement types'!$C$2:$C$201,MATCH(D136,'1 Measurement types'!$A$2:$A$201,0))))),"Unit does not match its measurement type",IF(F136="","Give it a short name","ok")))))))))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10" t="str">
        <f aca="false">IF(A137="","",IF(SUMPRODUCT(--EXACT('3 Bindings'!$A$2:$A$201,A137))&gt;0,"yes","not yet"))</f>
        <v/>
      </c>
      <c r="I137" s="10" t="str">
        <f aca="false">IF(A137="","",IF(SUMPRODUCT(--EXACT($A$2:$A$201,A137))&gt;1,"Duplicate ID",IF(AND(B137&lt;&gt;"Measurement",B137&lt;&gt;"State or alarm"),"Kind must be Measurement or State or alarm",IF(SUMPRODUCT(--EXACT('2 Assets'!$A$2:$A$201,C137))=0,"Asset is not on the Assets sheet",IF(SUMPRODUCT(--EXACT('1 Measurement types'!$A$2:$A$201,D137))=0,"Not on the Measurement types sheet",IF(INDEX('1 Measurement types'!$B$2:$B$201,MATCH(D137,'1 Measurement types'!$A$2:$A$201,0))&lt;&gt;B137,"Kind does not match its measurement type",IF(AND(B137="Measurement",E137=""),"A measurement needs a unit",IF(AND(B137="Measurement",NOT(EXACT(E137,INDEX('1 Measurement types'!$C$2:$C$201,MATCH(D137,'1 Measurement types'!$A$2:$A$201,0))))),"Unit does not match its measurement type",IF(F137="","Give it a short name","ok")))))))))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10" t="str">
        <f aca="false">IF(A138="","",IF(SUMPRODUCT(--EXACT('3 Bindings'!$A$2:$A$201,A138))&gt;0,"yes","not yet"))</f>
        <v/>
      </c>
      <c r="I138" s="10" t="str">
        <f aca="false">IF(A138="","",IF(SUMPRODUCT(--EXACT($A$2:$A$201,A138))&gt;1,"Duplicate ID",IF(AND(B138&lt;&gt;"Measurement",B138&lt;&gt;"State or alarm"),"Kind must be Measurement or State or alarm",IF(SUMPRODUCT(--EXACT('2 Assets'!$A$2:$A$201,C138))=0,"Asset is not on the Assets sheet",IF(SUMPRODUCT(--EXACT('1 Measurement types'!$A$2:$A$201,D138))=0,"Not on the Measurement types sheet",IF(INDEX('1 Measurement types'!$B$2:$B$201,MATCH(D138,'1 Measurement types'!$A$2:$A$201,0))&lt;&gt;B138,"Kind does not match its measurement type",IF(AND(B138="Measurement",E138=""),"A measurement needs a unit",IF(AND(B138="Measurement",NOT(EXACT(E138,INDEX('1 Measurement types'!$C$2:$C$201,MATCH(D138,'1 Measurement types'!$A$2:$A$201,0))))),"Unit does not match its measurement type",IF(F138="","Give it a short name","ok")))))))))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10" t="str">
        <f aca="false">IF(A139="","",IF(SUMPRODUCT(--EXACT('3 Bindings'!$A$2:$A$201,A139))&gt;0,"yes","not yet"))</f>
        <v/>
      </c>
      <c r="I139" s="10" t="str">
        <f aca="false">IF(A139="","",IF(SUMPRODUCT(--EXACT($A$2:$A$201,A139))&gt;1,"Duplicate ID",IF(AND(B139&lt;&gt;"Measurement",B139&lt;&gt;"State or alarm"),"Kind must be Measurement or State or alarm",IF(SUMPRODUCT(--EXACT('2 Assets'!$A$2:$A$201,C139))=0,"Asset is not on the Assets sheet",IF(SUMPRODUCT(--EXACT('1 Measurement types'!$A$2:$A$201,D139))=0,"Not on the Measurement types sheet",IF(INDEX('1 Measurement types'!$B$2:$B$201,MATCH(D139,'1 Measurement types'!$A$2:$A$201,0))&lt;&gt;B139,"Kind does not match its measurement type",IF(AND(B139="Measurement",E139=""),"A measurement needs a unit",IF(AND(B139="Measurement",NOT(EXACT(E139,INDEX('1 Measurement types'!$C$2:$C$201,MATCH(D139,'1 Measurement types'!$A$2:$A$201,0))))),"Unit does not match its measurement type",IF(F139="","Give it a short name","ok")))))))))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10" t="str">
        <f aca="false">IF(A140="","",IF(SUMPRODUCT(--EXACT('3 Bindings'!$A$2:$A$201,A140))&gt;0,"yes","not yet"))</f>
        <v/>
      </c>
      <c r="I140" s="10" t="str">
        <f aca="false">IF(A140="","",IF(SUMPRODUCT(--EXACT($A$2:$A$201,A140))&gt;1,"Duplicate ID",IF(AND(B140&lt;&gt;"Measurement",B140&lt;&gt;"State or alarm"),"Kind must be Measurement or State or alarm",IF(SUMPRODUCT(--EXACT('2 Assets'!$A$2:$A$201,C140))=0,"Asset is not on the Assets sheet",IF(SUMPRODUCT(--EXACT('1 Measurement types'!$A$2:$A$201,D140))=0,"Not on the Measurement types sheet",IF(INDEX('1 Measurement types'!$B$2:$B$201,MATCH(D140,'1 Measurement types'!$A$2:$A$201,0))&lt;&gt;B140,"Kind does not match its measurement type",IF(AND(B140="Measurement",E140=""),"A measurement needs a unit",IF(AND(B140="Measurement",NOT(EXACT(E140,INDEX('1 Measurement types'!$C$2:$C$201,MATCH(D140,'1 Measurement types'!$A$2:$A$201,0))))),"Unit does not match its measurement type",IF(F140="","Give it a short name","ok")))))))))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10" t="str">
        <f aca="false">IF(A141="","",IF(SUMPRODUCT(--EXACT('3 Bindings'!$A$2:$A$201,A141))&gt;0,"yes","not yet"))</f>
        <v/>
      </c>
      <c r="I141" s="10" t="str">
        <f aca="false">IF(A141="","",IF(SUMPRODUCT(--EXACT($A$2:$A$201,A141))&gt;1,"Duplicate ID",IF(AND(B141&lt;&gt;"Measurement",B141&lt;&gt;"State or alarm"),"Kind must be Measurement or State or alarm",IF(SUMPRODUCT(--EXACT('2 Assets'!$A$2:$A$201,C141))=0,"Asset is not on the Assets sheet",IF(SUMPRODUCT(--EXACT('1 Measurement types'!$A$2:$A$201,D141))=0,"Not on the Measurement types sheet",IF(INDEX('1 Measurement types'!$B$2:$B$201,MATCH(D141,'1 Measurement types'!$A$2:$A$201,0))&lt;&gt;B141,"Kind does not match its measurement type",IF(AND(B141="Measurement",E141=""),"A measurement needs a unit",IF(AND(B141="Measurement",NOT(EXACT(E141,INDEX('1 Measurement types'!$C$2:$C$201,MATCH(D141,'1 Measurement types'!$A$2:$A$201,0))))),"Unit does not match its measurement type",IF(F141="","Give it a short name","ok")))))))))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10" t="str">
        <f aca="false">IF(A142="","",IF(SUMPRODUCT(--EXACT('3 Bindings'!$A$2:$A$201,A142))&gt;0,"yes","not yet"))</f>
        <v/>
      </c>
      <c r="I142" s="10" t="str">
        <f aca="false">IF(A142="","",IF(SUMPRODUCT(--EXACT($A$2:$A$201,A142))&gt;1,"Duplicate ID",IF(AND(B142&lt;&gt;"Measurement",B142&lt;&gt;"State or alarm"),"Kind must be Measurement or State or alarm",IF(SUMPRODUCT(--EXACT('2 Assets'!$A$2:$A$201,C142))=0,"Asset is not on the Assets sheet",IF(SUMPRODUCT(--EXACT('1 Measurement types'!$A$2:$A$201,D142))=0,"Not on the Measurement types sheet",IF(INDEX('1 Measurement types'!$B$2:$B$201,MATCH(D142,'1 Measurement types'!$A$2:$A$201,0))&lt;&gt;B142,"Kind does not match its measurement type",IF(AND(B142="Measurement",E142=""),"A measurement needs a unit",IF(AND(B142="Measurement",NOT(EXACT(E142,INDEX('1 Measurement types'!$C$2:$C$201,MATCH(D142,'1 Measurement types'!$A$2:$A$201,0))))),"Unit does not match its measurement type",IF(F142="","Give it a short name","ok")))))))))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10" t="str">
        <f aca="false">IF(A143="","",IF(SUMPRODUCT(--EXACT('3 Bindings'!$A$2:$A$201,A143))&gt;0,"yes","not yet"))</f>
        <v/>
      </c>
      <c r="I143" s="10" t="str">
        <f aca="false">IF(A143="","",IF(SUMPRODUCT(--EXACT($A$2:$A$201,A143))&gt;1,"Duplicate ID",IF(AND(B143&lt;&gt;"Measurement",B143&lt;&gt;"State or alarm"),"Kind must be Measurement or State or alarm",IF(SUMPRODUCT(--EXACT('2 Assets'!$A$2:$A$201,C143))=0,"Asset is not on the Assets sheet",IF(SUMPRODUCT(--EXACT('1 Measurement types'!$A$2:$A$201,D143))=0,"Not on the Measurement types sheet",IF(INDEX('1 Measurement types'!$B$2:$B$201,MATCH(D143,'1 Measurement types'!$A$2:$A$201,0))&lt;&gt;B143,"Kind does not match its measurement type",IF(AND(B143="Measurement",E143=""),"A measurement needs a unit",IF(AND(B143="Measurement",NOT(EXACT(E143,INDEX('1 Measurement types'!$C$2:$C$201,MATCH(D143,'1 Measurement types'!$A$2:$A$201,0))))),"Unit does not match its measurement type",IF(F143="","Give it a short name","ok")))))))))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10" t="str">
        <f aca="false">IF(A144="","",IF(SUMPRODUCT(--EXACT('3 Bindings'!$A$2:$A$201,A144))&gt;0,"yes","not yet"))</f>
        <v/>
      </c>
      <c r="I144" s="10" t="str">
        <f aca="false">IF(A144="","",IF(SUMPRODUCT(--EXACT($A$2:$A$201,A144))&gt;1,"Duplicate ID",IF(AND(B144&lt;&gt;"Measurement",B144&lt;&gt;"State or alarm"),"Kind must be Measurement or State or alarm",IF(SUMPRODUCT(--EXACT('2 Assets'!$A$2:$A$201,C144))=0,"Asset is not on the Assets sheet",IF(SUMPRODUCT(--EXACT('1 Measurement types'!$A$2:$A$201,D144))=0,"Not on the Measurement types sheet",IF(INDEX('1 Measurement types'!$B$2:$B$201,MATCH(D144,'1 Measurement types'!$A$2:$A$201,0))&lt;&gt;B144,"Kind does not match its measurement type",IF(AND(B144="Measurement",E144=""),"A measurement needs a unit",IF(AND(B144="Measurement",NOT(EXACT(E144,INDEX('1 Measurement types'!$C$2:$C$201,MATCH(D144,'1 Measurement types'!$A$2:$A$201,0))))),"Unit does not match its measurement type",IF(F144="","Give it a short name","ok")))))))))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10" t="str">
        <f aca="false">IF(A145="","",IF(SUMPRODUCT(--EXACT('3 Bindings'!$A$2:$A$201,A145))&gt;0,"yes","not yet"))</f>
        <v/>
      </c>
      <c r="I145" s="10" t="str">
        <f aca="false">IF(A145="","",IF(SUMPRODUCT(--EXACT($A$2:$A$201,A145))&gt;1,"Duplicate ID",IF(AND(B145&lt;&gt;"Measurement",B145&lt;&gt;"State or alarm"),"Kind must be Measurement or State or alarm",IF(SUMPRODUCT(--EXACT('2 Assets'!$A$2:$A$201,C145))=0,"Asset is not on the Assets sheet",IF(SUMPRODUCT(--EXACT('1 Measurement types'!$A$2:$A$201,D145))=0,"Not on the Measurement types sheet",IF(INDEX('1 Measurement types'!$B$2:$B$201,MATCH(D145,'1 Measurement types'!$A$2:$A$201,0))&lt;&gt;B145,"Kind does not match its measurement type",IF(AND(B145="Measurement",E145=""),"A measurement needs a unit",IF(AND(B145="Measurement",NOT(EXACT(E145,INDEX('1 Measurement types'!$C$2:$C$201,MATCH(D145,'1 Measurement types'!$A$2:$A$201,0))))),"Unit does not match its measurement type",IF(F145="","Give it a short name","ok")))))))))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10" t="str">
        <f aca="false">IF(A146="","",IF(SUMPRODUCT(--EXACT('3 Bindings'!$A$2:$A$201,A146))&gt;0,"yes","not yet"))</f>
        <v/>
      </c>
      <c r="I146" s="10" t="str">
        <f aca="false">IF(A146="","",IF(SUMPRODUCT(--EXACT($A$2:$A$201,A146))&gt;1,"Duplicate ID",IF(AND(B146&lt;&gt;"Measurement",B146&lt;&gt;"State or alarm"),"Kind must be Measurement or State or alarm",IF(SUMPRODUCT(--EXACT('2 Assets'!$A$2:$A$201,C146))=0,"Asset is not on the Assets sheet",IF(SUMPRODUCT(--EXACT('1 Measurement types'!$A$2:$A$201,D146))=0,"Not on the Measurement types sheet",IF(INDEX('1 Measurement types'!$B$2:$B$201,MATCH(D146,'1 Measurement types'!$A$2:$A$201,0))&lt;&gt;B146,"Kind does not match its measurement type",IF(AND(B146="Measurement",E146=""),"A measurement needs a unit",IF(AND(B146="Measurement",NOT(EXACT(E146,INDEX('1 Measurement types'!$C$2:$C$201,MATCH(D146,'1 Measurement types'!$A$2:$A$201,0))))),"Unit does not match its measurement type",IF(F146="","Give it a short name","ok")))))))))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10" t="str">
        <f aca="false">IF(A147="","",IF(SUMPRODUCT(--EXACT('3 Bindings'!$A$2:$A$201,A147))&gt;0,"yes","not yet"))</f>
        <v/>
      </c>
      <c r="I147" s="10" t="str">
        <f aca="false">IF(A147="","",IF(SUMPRODUCT(--EXACT($A$2:$A$201,A147))&gt;1,"Duplicate ID",IF(AND(B147&lt;&gt;"Measurement",B147&lt;&gt;"State or alarm"),"Kind must be Measurement or State or alarm",IF(SUMPRODUCT(--EXACT('2 Assets'!$A$2:$A$201,C147))=0,"Asset is not on the Assets sheet",IF(SUMPRODUCT(--EXACT('1 Measurement types'!$A$2:$A$201,D147))=0,"Not on the Measurement types sheet",IF(INDEX('1 Measurement types'!$B$2:$B$201,MATCH(D147,'1 Measurement types'!$A$2:$A$201,0))&lt;&gt;B147,"Kind does not match its measurement type",IF(AND(B147="Measurement",E147=""),"A measurement needs a unit",IF(AND(B147="Measurement",NOT(EXACT(E147,INDEX('1 Measurement types'!$C$2:$C$201,MATCH(D147,'1 Measurement types'!$A$2:$A$201,0))))),"Unit does not match its measurement type",IF(F147="","Give it a short name","ok")))))))))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10" t="str">
        <f aca="false">IF(A148="","",IF(SUMPRODUCT(--EXACT('3 Bindings'!$A$2:$A$201,A148))&gt;0,"yes","not yet"))</f>
        <v/>
      </c>
      <c r="I148" s="10" t="str">
        <f aca="false">IF(A148="","",IF(SUMPRODUCT(--EXACT($A$2:$A$201,A148))&gt;1,"Duplicate ID",IF(AND(B148&lt;&gt;"Measurement",B148&lt;&gt;"State or alarm"),"Kind must be Measurement or State or alarm",IF(SUMPRODUCT(--EXACT('2 Assets'!$A$2:$A$201,C148))=0,"Asset is not on the Assets sheet",IF(SUMPRODUCT(--EXACT('1 Measurement types'!$A$2:$A$201,D148))=0,"Not on the Measurement types sheet",IF(INDEX('1 Measurement types'!$B$2:$B$201,MATCH(D148,'1 Measurement types'!$A$2:$A$201,0))&lt;&gt;B148,"Kind does not match its measurement type",IF(AND(B148="Measurement",E148=""),"A measurement needs a unit",IF(AND(B148="Measurement",NOT(EXACT(E148,INDEX('1 Measurement types'!$C$2:$C$201,MATCH(D148,'1 Measurement types'!$A$2:$A$201,0))))),"Unit does not match its measurement type",IF(F148="","Give it a short name","ok")))))))))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10" t="str">
        <f aca="false">IF(A149="","",IF(SUMPRODUCT(--EXACT('3 Bindings'!$A$2:$A$201,A149))&gt;0,"yes","not yet"))</f>
        <v/>
      </c>
      <c r="I149" s="10" t="str">
        <f aca="false">IF(A149="","",IF(SUMPRODUCT(--EXACT($A$2:$A$201,A149))&gt;1,"Duplicate ID",IF(AND(B149&lt;&gt;"Measurement",B149&lt;&gt;"State or alarm"),"Kind must be Measurement or State or alarm",IF(SUMPRODUCT(--EXACT('2 Assets'!$A$2:$A$201,C149))=0,"Asset is not on the Assets sheet",IF(SUMPRODUCT(--EXACT('1 Measurement types'!$A$2:$A$201,D149))=0,"Not on the Measurement types sheet",IF(INDEX('1 Measurement types'!$B$2:$B$201,MATCH(D149,'1 Measurement types'!$A$2:$A$201,0))&lt;&gt;B149,"Kind does not match its measurement type",IF(AND(B149="Measurement",E149=""),"A measurement needs a unit",IF(AND(B149="Measurement",NOT(EXACT(E149,INDEX('1 Measurement types'!$C$2:$C$201,MATCH(D149,'1 Measurement types'!$A$2:$A$201,0))))),"Unit does not match its measurement type",IF(F149="","Give it a short name","ok")))))))))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10" t="str">
        <f aca="false">IF(A150="","",IF(SUMPRODUCT(--EXACT('3 Bindings'!$A$2:$A$201,A150))&gt;0,"yes","not yet"))</f>
        <v/>
      </c>
      <c r="I150" s="10" t="str">
        <f aca="false">IF(A150="","",IF(SUMPRODUCT(--EXACT($A$2:$A$201,A150))&gt;1,"Duplicate ID",IF(AND(B150&lt;&gt;"Measurement",B150&lt;&gt;"State or alarm"),"Kind must be Measurement or State or alarm",IF(SUMPRODUCT(--EXACT('2 Assets'!$A$2:$A$201,C150))=0,"Asset is not on the Assets sheet",IF(SUMPRODUCT(--EXACT('1 Measurement types'!$A$2:$A$201,D150))=0,"Not on the Measurement types sheet",IF(INDEX('1 Measurement types'!$B$2:$B$201,MATCH(D150,'1 Measurement types'!$A$2:$A$201,0))&lt;&gt;B150,"Kind does not match its measurement type",IF(AND(B150="Measurement",E150=""),"A measurement needs a unit",IF(AND(B150="Measurement",NOT(EXACT(E150,INDEX('1 Measurement types'!$C$2:$C$201,MATCH(D150,'1 Measurement types'!$A$2:$A$201,0))))),"Unit does not match its measurement type",IF(F150="","Give it a short name","ok")))))))))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10" t="str">
        <f aca="false">IF(A151="","",IF(SUMPRODUCT(--EXACT('3 Bindings'!$A$2:$A$201,A151))&gt;0,"yes","not yet"))</f>
        <v/>
      </c>
      <c r="I151" s="10" t="str">
        <f aca="false">IF(A151="","",IF(SUMPRODUCT(--EXACT($A$2:$A$201,A151))&gt;1,"Duplicate ID",IF(AND(B151&lt;&gt;"Measurement",B151&lt;&gt;"State or alarm"),"Kind must be Measurement or State or alarm",IF(SUMPRODUCT(--EXACT('2 Assets'!$A$2:$A$201,C151))=0,"Asset is not on the Assets sheet",IF(SUMPRODUCT(--EXACT('1 Measurement types'!$A$2:$A$201,D151))=0,"Not on the Measurement types sheet",IF(INDEX('1 Measurement types'!$B$2:$B$201,MATCH(D151,'1 Measurement types'!$A$2:$A$201,0))&lt;&gt;B151,"Kind does not match its measurement type",IF(AND(B151="Measurement",E151=""),"A measurement needs a unit",IF(AND(B151="Measurement",NOT(EXACT(E151,INDEX('1 Measurement types'!$C$2:$C$201,MATCH(D151,'1 Measurement types'!$A$2:$A$201,0))))),"Unit does not match its measurement type",IF(F151="","Give it a short name","ok")))))))))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10" t="str">
        <f aca="false">IF(A152="","",IF(SUMPRODUCT(--EXACT('3 Bindings'!$A$2:$A$201,A152))&gt;0,"yes","not yet"))</f>
        <v/>
      </c>
      <c r="I152" s="10" t="str">
        <f aca="false">IF(A152="","",IF(SUMPRODUCT(--EXACT($A$2:$A$201,A152))&gt;1,"Duplicate ID",IF(AND(B152&lt;&gt;"Measurement",B152&lt;&gt;"State or alarm"),"Kind must be Measurement or State or alarm",IF(SUMPRODUCT(--EXACT('2 Assets'!$A$2:$A$201,C152))=0,"Asset is not on the Assets sheet",IF(SUMPRODUCT(--EXACT('1 Measurement types'!$A$2:$A$201,D152))=0,"Not on the Measurement types sheet",IF(INDEX('1 Measurement types'!$B$2:$B$201,MATCH(D152,'1 Measurement types'!$A$2:$A$201,0))&lt;&gt;B152,"Kind does not match its measurement type",IF(AND(B152="Measurement",E152=""),"A measurement needs a unit",IF(AND(B152="Measurement",NOT(EXACT(E152,INDEX('1 Measurement types'!$C$2:$C$201,MATCH(D152,'1 Measurement types'!$A$2:$A$201,0))))),"Unit does not match its measurement type",IF(F152="","Give it a short name","ok")))))))))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10" t="str">
        <f aca="false">IF(A153="","",IF(SUMPRODUCT(--EXACT('3 Bindings'!$A$2:$A$201,A153))&gt;0,"yes","not yet"))</f>
        <v/>
      </c>
      <c r="I153" s="10" t="str">
        <f aca="false">IF(A153="","",IF(SUMPRODUCT(--EXACT($A$2:$A$201,A153))&gt;1,"Duplicate ID",IF(AND(B153&lt;&gt;"Measurement",B153&lt;&gt;"State or alarm"),"Kind must be Measurement or State or alarm",IF(SUMPRODUCT(--EXACT('2 Assets'!$A$2:$A$201,C153))=0,"Asset is not on the Assets sheet",IF(SUMPRODUCT(--EXACT('1 Measurement types'!$A$2:$A$201,D153))=0,"Not on the Measurement types sheet",IF(INDEX('1 Measurement types'!$B$2:$B$201,MATCH(D153,'1 Measurement types'!$A$2:$A$201,0))&lt;&gt;B153,"Kind does not match its measurement type",IF(AND(B153="Measurement",E153=""),"A measurement needs a unit",IF(AND(B153="Measurement",NOT(EXACT(E153,INDEX('1 Measurement types'!$C$2:$C$201,MATCH(D153,'1 Measurement types'!$A$2:$A$201,0))))),"Unit does not match its measurement type",IF(F153="","Give it a short name","ok")))))))))</f>
        <v/>
      </c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10" t="str">
        <f aca="false">IF(A154="","",IF(SUMPRODUCT(--EXACT('3 Bindings'!$A$2:$A$201,A154))&gt;0,"yes","not yet"))</f>
        <v/>
      </c>
      <c r="I154" s="10" t="str">
        <f aca="false">IF(A154="","",IF(SUMPRODUCT(--EXACT($A$2:$A$201,A154))&gt;1,"Duplicate ID",IF(AND(B154&lt;&gt;"Measurement",B154&lt;&gt;"State or alarm"),"Kind must be Measurement or State or alarm",IF(SUMPRODUCT(--EXACT('2 Assets'!$A$2:$A$201,C154))=0,"Asset is not on the Assets sheet",IF(SUMPRODUCT(--EXACT('1 Measurement types'!$A$2:$A$201,D154))=0,"Not on the Measurement types sheet",IF(INDEX('1 Measurement types'!$B$2:$B$201,MATCH(D154,'1 Measurement types'!$A$2:$A$201,0))&lt;&gt;B154,"Kind does not match its measurement type",IF(AND(B154="Measurement",E154=""),"A measurement needs a unit",IF(AND(B154="Measurement",NOT(EXACT(E154,INDEX('1 Measurement types'!$C$2:$C$201,MATCH(D154,'1 Measurement types'!$A$2:$A$201,0))))),"Unit does not match its measurement type",IF(F154="","Give it a short name","ok")))))))))</f>
        <v/>
      </c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10" t="str">
        <f aca="false">IF(A155="","",IF(SUMPRODUCT(--EXACT('3 Bindings'!$A$2:$A$201,A155))&gt;0,"yes","not yet"))</f>
        <v/>
      </c>
      <c r="I155" s="10" t="str">
        <f aca="false">IF(A155="","",IF(SUMPRODUCT(--EXACT($A$2:$A$201,A155))&gt;1,"Duplicate ID",IF(AND(B155&lt;&gt;"Measurement",B155&lt;&gt;"State or alarm"),"Kind must be Measurement or State or alarm",IF(SUMPRODUCT(--EXACT('2 Assets'!$A$2:$A$201,C155))=0,"Asset is not on the Assets sheet",IF(SUMPRODUCT(--EXACT('1 Measurement types'!$A$2:$A$201,D155))=0,"Not on the Measurement types sheet",IF(INDEX('1 Measurement types'!$B$2:$B$201,MATCH(D155,'1 Measurement types'!$A$2:$A$201,0))&lt;&gt;B155,"Kind does not match its measurement type",IF(AND(B155="Measurement",E155=""),"A measurement needs a unit",IF(AND(B155="Measurement",NOT(EXACT(E155,INDEX('1 Measurement types'!$C$2:$C$201,MATCH(D155,'1 Measurement types'!$A$2:$A$201,0))))),"Unit does not match its measurement type",IF(F155="","Give it a short name","ok")))))))))</f>
        <v/>
      </c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10" t="str">
        <f aca="false">IF(A156="","",IF(SUMPRODUCT(--EXACT('3 Bindings'!$A$2:$A$201,A156))&gt;0,"yes","not yet"))</f>
        <v/>
      </c>
      <c r="I156" s="10" t="str">
        <f aca="false">IF(A156="","",IF(SUMPRODUCT(--EXACT($A$2:$A$201,A156))&gt;1,"Duplicate ID",IF(AND(B156&lt;&gt;"Measurement",B156&lt;&gt;"State or alarm"),"Kind must be Measurement or State or alarm",IF(SUMPRODUCT(--EXACT('2 Assets'!$A$2:$A$201,C156))=0,"Asset is not on the Assets sheet",IF(SUMPRODUCT(--EXACT('1 Measurement types'!$A$2:$A$201,D156))=0,"Not on the Measurement types sheet",IF(INDEX('1 Measurement types'!$B$2:$B$201,MATCH(D156,'1 Measurement types'!$A$2:$A$201,0))&lt;&gt;B156,"Kind does not match its measurement type",IF(AND(B156="Measurement",E156=""),"A measurement needs a unit",IF(AND(B156="Measurement",NOT(EXACT(E156,INDEX('1 Measurement types'!$C$2:$C$201,MATCH(D156,'1 Measurement types'!$A$2:$A$201,0))))),"Unit does not match its measurement type",IF(F156="","Give it a short name","ok")))))))))</f>
        <v/>
      </c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10" t="str">
        <f aca="false">IF(A157="","",IF(SUMPRODUCT(--EXACT('3 Bindings'!$A$2:$A$201,A157))&gt;0,"yes","not yet"))</f>
        <v/>
      </c>
      <c r="I157" s="10" t="str">
        <f aca="false">IF(A157="","",IF(SUMPRODUCT(--EXACT($A$2:$A$201,A157))&gt;1,"Duplicate ID",IF(AND(B157&lt;&gt;"Measurement",B157&lt;&gt;"State or alarm"),"Kind must be Measurement or State or alarm",IF(SUMPRODUCT(--EXACT('2 Assets'!$A$2:$A$201,C157))=0,"Asset is not on the Assets sheet",IF(SUMPRODUCT(--EXACT('1 Measurement types'!$A$2:$A$201,D157))=0,"Not on the Measurement types sheet",IF(INDEX('1 Measurement types'!$B$2:$B$201,MATCH(D157,'1 Measurement types'!$A$2:$A$201,0))&lt;&gt;B157,"Kind does not match its measurement type",IF(AND(B157="Measurement",E157=""),"A measurement needs a unit",IF(AND(B157="Measurement",NOT(EXACT(E157,INDEX('1 Measurement types'!$C$2:$C$201,MATCH(D157,'1 Measurement types'!$A$2:$A$201,0))))),"Unit does not match its measurement type",IF(F157="","Give it a short name","ok")))))))))</f>
        <v/>
      </c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10" t="str">
        <f aca="false">IF(A158="","",IF(SUMPRODUCT(--EXACT('3 Bindings'!$A$2:$A$201,A158))&gt;0,"yes","not yet"))</f>
        <v/>
      </c>
      <c r="I158" s="10" t="str">
        <f aca="false">IF(A158="","",IF(SUMPRODUCT(--EXACT($A$2:$A$201,A158))&gt;1,"Duplicate ID",IF(AND(B158&lt;&gt;"Measurement",B158&lt;&gt;"State or alarm"),"Kind must be Measurement or State or alarm",IF(SUMPRODUCT(--EXACT('2 Assets'!$A$2:$A$201,C158))=0,"Asset is not on the Assets sheet",IF(SUMPRODUCT(--EXACT('1 Measurement types'!$A$2:$A$201,D158))=0,"Not on the Measurement types sheet",IF(INDEX('1 Measurement types'!$B$2:$B$201,MATCH(D158,'1 Measurement types'!$A$2:$A$201,0))&lt;&gt;B158,"Kind does not match its measurement type",IF(AND(B158="Measurement",E158=""),"A measurement needs a unit",IF(AND(B158="Measurement",NOT(EXACT(E158,INDEX('1 Measurement types'!$C$2:$C$201,MATCH(D158,'1 Measurement types'!$A$2:$A$201,0))))),"Unit does not match its measurement type",IF(F158="","Give it a short name","ok")))))))))</f>
        <v/>
      </c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10" t="str">
        <f aca="false">IF(A159="","",IF(SUMPRODUCT(--EXACT('3 Bindings'!$A$2:$A$201,A159))&gt;0,"yes","not yet"))</f>
        <v/>
      </c>
      <c r="I159" s="10" t="str">
        <f aca="false">IF(A159="","",IF(SUMPRODUCT(--EXACT($A$2:$A$201,A159))&gt;1,"Duplicate ID",IF(AND(B159&lt;&gt;"Measurement",B159&lt;&gt;"State or alarm"),"Kind must be Measurement or State or alarm",IF(SUMPRODUCT(--EXACT('2 Assets'!$A$2:$A$201,C159))=0,"Asset is not on the Assets sheet",IF(SUMPRODUCT(--EXACT('1 Measurement types'!$A$2:$A$201,D159))=0,"Not on the Measurement types sheet",IF(INDEX('1 Measurement types'!$B$2:$B$201,MATCH(D159,'1 Measurement types'!$A$2:$A$201,0))&lt;&gt;B159,"Kind does not match its measurement type",IF(AND(B159="Measurement",E159=""),"A measurement needs a unit",IF(AND(B159="Measurement",NOT(EXACT(E159,INDEX('1 Measurement types'!$C$2:$C$201,MATCH(D159,'1 Measurement types'!$A$2:$A$201,0))))),"Unit does not match its measurement type",IF(F159="","Give it a short name","ok")))))))))</f>
        <v/>
      </c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10" t="str">
        <f aca="false">IF(A160="","",IF(SUMPRODUCT(--EXACT('3 Bindings'!$A$2:$A$201,A160))&gt;0,"yes","not yet"))</f>
        <v/>
      </c>
      <c r="I160" s="10" t="str">
        <f aca="false">IF(A160="","",IF(SUMPRODUCT(--EXACT($A$2:$A$201,A160))&gt;1,"Duplicate ID",IF(AND(B160&lt;&gt;"Measurement",B160&lt;&gt;"State or alarm"),"Kind must be Measurement or State or alarm",IF(SUMPRODUCT(--EXACT('2 Assets'!$A$2:$A$201,C160))=0,"Asset is not on the Assets sheet",IF(SUMPRODUCT(--EXACT('1 Measurement types'!$A$2:$A$201,D160))=0,"Not on the Measurement types sheet",IF(INDEX('1 Measurement types'!$B$2:$B$201,MATCH(D160,'1 Measurement types'!$A$2:$A$201,0))&lt;&gt;B160,"Kind does not match its measurement type",IF(AND(B160="Measurement",E160=""),"A measurement needs a unit",IF(AND(B160="Measurement",NOT(EXACT(E160,INDEX('1 Measurement types'!$C$2:$C$201,MATCH(D160,'1 Measurement types'!$A$2:$A$201,0))))),"Unit does not match its measurement type",IF(F160="","Give it a short name","ok")))))))))</f>
        <v/>
      </c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10" t="str">
        <f aca="false">IF(A161="","",IF(SUMPRODUCT(--EXACT('3 Bindings'!$A$2:$A$201,A161))&gt;0,"yes","not yet"))</f>
        <v/>
      </c>
      <c r="I161" s="10" t="str">
        <f aca="false">IF(A161="","",IF(SUMPRODUCT(--EXACT($A$2:$A$201,A161))&gt;1,"Duplicate ID",IF(AND(B161&lt;&gt;"Measurement",B161&lt;&gt;"State or alarm"),"Kind must be Measurement or State or alarm",IF(SUMPRODUCT(--EXACT('2 Assets'!$A$2:$A$201,C161))=0,"Asset is not on the Assets sheet",IF(SUMPRODUCT(--EXACT('1 Measurement types'!$A$2:$A$201,D161))=0,"Not on the Measurement types sheet",IF(INDEX('1 Measurement types'!$B$2:$B$201,MATCH(D161,'1 Measurement types'!$A$2:$A$201,0))&lt;&gt;B161,"Kind does not match its measurement type",IF(AND(B161="Measurement",E161=""),"A measurement needs a unit",IF(AND(B161="Measurement",NOT(EXACT(E161,INDEX('1 Measurement types'!$C$2:$C$201,MATCH(D161,'1 Measurement types'!$A$2:$A$201,0))))),"Unit does not match its measurement type",IF(F161="","Give it a short name","ok")))))))))</f>
        <v/>
      </c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10" t="str">
        <f aca="false">IF(A162="","",IF(SUMPRODUCT(--EXACT('3 Bindings'!$A$2:$A$201,A162))&gt;0,"yes","not yet"))</f>
        <v/>
      </c>
      <c r="I162" s="10" t="str">
        <f aca="false">IF(A162="","",IF(SUMPRODUCT(--EXACT($A$2:$A$201,A162))&gt;1,"Duplicate ID",IF(AND(B162&lt;&gt;"Measurement",B162&lt;&gt;"State or alarm"),"Kind must be Measurement or State or alarm",IF(SUMPRODUCT(--EXACT('2 Assets'!$A$2:$A$201,C162))=0,"Asset is not on the Assets sheet",IF(SUMPRODUCT(--EXACT('1 Measurement types'!$A$2:$A$201,D162))=0,"Not on the Measurement types sheet",IF(INDEX('1 Measurement types'!$B$2:$B$201,MATCH(D162,'1 Measurement types'!$A$2:$A$201,0))&lt;&gt;B162,"Kind does not match its measurement type",IF(AND(B162="Measurement",E162=""),"A measurement needs a unit",IF(AND(B162="Measurement",NOT(EXACT(E162,INDEX('1 Measurement types'!$C$2:$C$201,MATCH(D162,'1 Measurement types'!$A$2:$A$201,0))))),"Unit does not match its measurement type",IF(F162="","Give it a short name","ok")))))))))</f>
        <v/>
      </c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10" t="str">
        <f aca="false">IF(A163="","",IF(SUMPRODUCT(--EXACT('3 Bindings'!$A$2:$A$201,A163))&gt;0,"yes","not yet"))</f>
        <v/>
      </c>
      <c r="I163" s="10" t="str">
        <f aca="false">IF(A163="","",IF(SUMPRODUCT(--EXACT($A$2:$A$201,A163))&gt;1,"Duplicate ID",IF(AND(B163&lt;&gt;"Measurement",B163&lt;&gt;"State or alarm"),"Kind must be Measurement or State or alarm",IF(SUMPRODUCT(--EXACT('2 Assets'!$A$2:$A$201,C163))=0,"Asset is not on the Assets sheet",IF(SUMPRODUCT(--EXACT('1 Measurement types'!$A$2:$A$201,D163))=0,"Not on the Measurement types sheet",IF(INDEX('1 Measurement types'!$B$2:$B$201,MATCH(D163,'1 Measurement types'!$A$2:$A$201,0))&lt;&gt;B163,"Kind does not match its measurement type",IF(AND(B163="Measurement",E163=""),"A measurement needs a unit",IF(AND(B163="Measurement",NOT(EXACT(E163,INDEX('1 Measurement types'!$C$2:$C$201,MATCH(D163,'1 Measurement types'!$A$2:$A$201,0))))),"Unit does not match its measurement type",IF(F163="","Give it a short name","ok")))))))))</f>
        <v/>
      </c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10" t="str">
        <f aca="false">IF(A164="","",IF(SUMPRODUCT(--EXACT('3 Bindings'!$A$2:$A$201,A164))&gt;0,"yes","not yet"))</f>
        <v/>
      </c>
      <c r="I164" s="10" t="str">
        <f aca="false">IF(A164="","",IF(SUMPRODUCT(--EXACT($A$2:$A$201,A164))&gt;1,"Duplicate ID",IF(AND(B164&lt;&gt;"Measurement",B164&lt;&gt;"State or alarm"),"Kind must be Measurement or State or alarm",IF(SUMPRODUCT(--EXACT('2 Assets'!$A$2:$A$201,C164))=0,"Asset is not on the Assets sheet",IF(SUMPRODUCT(--EXACT('1 Measurement types'!$A$2:$A$201,D164))=0,"Not on the Measurement types sheet",IF(INDEX('1 Measurement types'!$B$2:$B$201,MATCH(D164,'1 Measurement types'!$A$2:$A$201,0))&lt;&gt;B164,"Kind does not match its measurement type",IF(AND(B164="Measurement",E164=""),"A measurement needs a unit",IF(AND(B164="Measurement",NOT(EXACT(E164,INDEX('1 Measurement types'!$C$2:$C$201,MATCH(D164,'1 Measurement types'!$A$2:$A$201,0))))),"Unit does not match its measurement type",IF(F164="","Give it a short name","ok")))))))))</f>
        <v/>
      </c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10" t="str">
        <f aca="false">IF(A165="","",IF(SUMPRODUCT(--EXACT('3 Bindings'!$A$2:$A$201,A165))&gt;0,"yes","not yet"))</f>
        <v/>
      </c>
      <c r="I165" s="10" t="str">
        <f aca="false">IF(A165="","",IF(SUMPRODUCT(--EXACT($A$2:$A$201,A165))&gt;1,"Duplicate ID",IF(AND(B165&lt;&gt;"Measurement",B165&lt;&gt;"State or alarm"),"Kind must be Measurement or State or alarm",IF(SUMPRODUCT(--EXACT('2 Assets'!$A$2:$A$201,C165))=0,"Asset is not on the Assets sheet",IF(SUMPRODUCT(--EXACT('1 Measurement types'!$A$2:$A$201,D165))=0,"Not on the Measurement types sheet",IF(INDEX('1 Measurement types'!$B$2:$B$201,MATCH(D165,'1 Measurement types'!$A$2:$A$201,0))&lt;&gt;B165,"Kind does not match its measurement type",IF(AND(B165="Measurement",E165=""),"A measurement needs a unit",IF(AND(B165="Measurement",NOT(EXACT(E165,INDEX('1 Measurement types'!$C$2:$C$201,MATCH(D165,'1 Measurement types'!$A$2:$A$201,0))))),"Unit does not match its measurement type",IF(F165="","Give it a short name","ok")))))))))</f>
        <v/>
      </c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10" t="str">
        <f aca="false">IF(A166="","",IF(SUMPRODUCT(--EXACT('3 Bindings'!$A$2:$A$201,A166))&gt;0,"yes","not yet"))</f>
        <v/>
      </c>
      <c r="I166" s="10" t="str">
        <f aca="false">IF(A166="","",IF(SUMPRODUCT(--EXACT($A$2:$A$201,A166))&gt;1,"Duplicate ID",IF(AND(B166&lt;&gt;"Measurement",B166&lt;&gt;"State or alarm"),"Kind must be Measurement or State or alarm",IF(SUMPRODUCT(--EXACT('2 Assets'!$A$2:$A$201,C166))=0,"Asset is not on the Assets sheet",IF(SUMPRODUCT(--EXACT('1 Measurement types'!$A$2:$A$201,D166))=0,"Not on the Measurement types sheet",IF(INDEX('1 Measurement types'!$B$2:$B$201,MATCH(D166,'1 Measurement types'!$A$2:$A$201,0))&lt;&gt;B166,"Kind does not match its measurement type",IF(AND(B166="Measurement",E166=""),"A measurement needs a unit",IF(AND(B166="Measurement",NOT(EXACT(E166,INDEX('1 Measurement types'!$C$2:$C$201,MATCH(D166,'1 Measurement types'!$A$2:$A$201,0))))),"Unit does not match its measurement type",IF(F166="","Give it a short name","ok")))))))))</f>
        <v/>
      </c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10" t="str">
        <f aca="false">IF(A167="","",IF(SUMPRODUCT(--EXACT('3 Bindings'!$A$2:$A$201,A167))&gt;0,"yes","not yet"))</f>
        <v/>
      </c>
      <c r="I167" s="10" t="str">
        <f aca="false">IF(A167="","",IF(SUMPRODUCT(--EXACT($A$2:$A$201,A167))&gt;1,"Duplicate ID",IF(AND(B167&lt;&gt;"Measurement",B167&lt;&gt;"State or alarm"),"Kind must be Measurement or State or alarm",IF(SUMPRODUCT(--EXACT('2 Assets'!$A$2:$A$201,C167))=0,"Asset is not on the Assets sheet",IF(SUMPRODUCT(--EXACT('1 Measurement types'!$A$2:$A$201,D167))=0,"Not on the Measurement types sheet",IF(INDEX('1 Measurement types'!$B$2:$B$201,MATCH(D167,'1 Measurement types'!$A$2:$A$201,0))&lt;&gt;B167,"Kind does not match its measurement type",IF(AND(B167="Measurement",E167=""),"A measurement needs a unit",IF(AND(B167="Measurement",NOT(EXACT(E167,INDEX('1 Measurement types'!$C$2:$C$201,MATCH(D167,'1 Measurement types'!$A$2:$A$201,0))))),"Unit does not match its measurement type",IF(F167="","Give it a short name","ok")))))))))</f>
        <v/>
      </c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10" t="str">
        <f aca="false">IF(A168="","",IF(SUMPRODUCT(--EXACT('3 Bindings'!$A$2:$A$201,A168))&gt;0,"yes","not yet"))</f>
        <v/>
      </c>
      <c r="I168" s="10" t="str">
        <f aca="false">IF(A168="","",IF(SUMPRODUCT(--EXACT($A$2:$A$201,A168))&gt;1,"Duplicate ID",IF(AND(B168&lt;&gt;"Measurement",B168&lt;&gt;"State or alarm"),"Kind must be Measurement or State or alarm",IF(SUMPRODUCT(--EXACT('2 Assets'!$A$2:$A$201,C168))=0,"Asset is not on the Assets sheet",IF(SUMPRODUCT(--EXACT('1 Measurement types'!$A$2:$A$201,D168))=0,"Not on the Measurement types sheet",IF(INDEX('1 Measurement types'!$B$2:$B$201,MATCH(D168,'1 Measurement types'!$A$2:$A$201,0))&lt;&gt;B168,"Kind does not match its measurement type",IF(AND(B168="Measurement",E168=""),"A measurement needs a unit",IF(AND(B168="Measurement",NOT(EXACT(E168,INDEX('1 Measurement types'!$C$2:$C$201,MATCH(D168,'1 Measurement types'!$A$2:$A$201,0))))),"Unit does not match its measurement type",IF(F168="","Give it a short name","ok")))))))))</f>
        <v/>
      </c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10" t="str">
        <f aca="false">IF(A169="","",IF(SUMPRODUCT(--EXACT('3 Bindings'!$A$2:$A$201,A169))&gt;0,"yes","not yet"))</f>
        <v/>
      </c>
      <c r="I169" s="10" t="str">
        <f aca="false">IF(A169="","",IF(SUMPRODUCT(--EXACT($A$2:$A$201,A169))&gt;1,"Duplicate ID",IF(AND(B169&lt;&gt;"Measurement",B169&lt;&gt;"State or alarm"),"Kind must be Measurement or State or alarm",IF(SUMPRODUCT(--EXACT('2 Assets'!$A$2:$A$201,C169))=0,"Asset is not on the Assets sheet",IF(SUMPRODUCT(--EXACT('1 Measurement types'!$A$2:$A$201,D169))=0,"Not on the Measurement types sheet",IF(INDEX('1 Measurement types'!$B$2:$B$201,MATCH(D169,'1 Measurement types'!$A$2:$A$201,0))&lt;&gt;B169,"Kind does not match its measurement type",IF(AND(B169="Measurement",E169=""),"A measurement needs a unit",IF(AND(B169="Measurement",NOT(EXACT(E169,INDEX('1 Measurement types'!$C$2:$C$201,MATCH(D169,'1 Measurement types'!$A$2:$A$201,0))))),"Unit does not match its measurement type",IF(F169="","Give it a short name","ok")))))))))</f>
        <v/>
      </c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10" t="str">
        <f aca="false">IF(A170="","",IF(SUMPRODUCT(--EXACT('3 Bindings'!$A$2:$A$201,A170))&gt;0,"yes","not yet"))</f>
        <v/>
      </c>
      <c r="I170" s="10" t="str">
        <f aca="false">IF(A170="","",IF(SUMPRODUCT(--EXACT($A$2:$A$201,A170))&gt;1,"Duplicate ID",IF(AND(B170&lt;&gt;"Measurement",B170&lt;&gt;"State or alarm"),"Kind must be Measurement or State or alarm",IF(SUMPRODUCT(--EXACT('2 Assets'!$A$2:$A$201,C170))=0,"Asset is not on the Assets sheet",IF(SUMPRODUCT(--EXACT('1 Measurement types'!$A$2:$A$201,D170))=0,"Not on the Measurement types sheet",IF(INDEX('1 Measurement types'!$B$2:$B$201,MATCH(D170,'1 Measurement types'!$A$2:$A$201,0))&lt;&gt;B170,"Kind does not match its measurement type",IF(AND(B170="Measurement",E170=""),"A measurement needs a unit",IF(AND(B170="Measurement",NOT(EXACT(E170,INDEX('1 Measurement types'!$C$2:$C$201,MATCH(D170,'1 Measurement types'!$A$2:$A$201,0))))),"Unit does not match its measurement type",IF(F170="","Give it a short name","ok")))))))))</f>
        <v/>
      </c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10" t="str">
        <f aca="false">IF(A171="","",IF(SUMPRODUCT(--EXACT('3 Bindings'!$A$2:$A$201,A171))&gt;0,"yes","not yet"))</f>
        <v/>
      </c>
      <c r="I171" s="10" t="str">
        <f aca="false">IF(A171="","",IF(SUMPRODUCT(--EXACT($A$2:$A$201,A171))&gt;1,"Duplicate ID",IF(AND(B171&lt;&gt;"Measurement",B171&lt;&gt;"State or alarm"),"Kind must be Measurement or State or alarm",IF(SUMPRODUCT(--EXACT('2 Assets'!$A$2:$A$201,C171))=0,"Asset is not on the Assets sheet",IF(SUMPRODUCT(--EXACT('1 Measurement types'!$A$2:$A$201,D171))=0,"Not on the Measurement types sheet",IF(INDEX('1 Measurement types'!$B$2:$B$201,MATCH(D171,'1 Measurement types'!$A$2:$A$201,0))&lt;&gt;B171,"Kind does not match its measurement type",IF(AND(B171="Measurement",E171=""),"A measurement needs a unit",IF(AND(B171="Measurement",NOT(EXACT(E171,INDEX('1 Measurement types'!$C$2:$C$201,MATCH(D171,'1 Measurement types'!$A$2:$A$201,0))))),"Unit does not match its measurement type",IF(F171="","Give it a short name","ok")))))))))</f>
        <v/>
      </c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10" t="str">
        <f aca="false">IF(A172="","",IF(SUMPRODUCT(--EXACT('3 Bindings'!$A$2:$A$201,A172))&gt;0,"yes","not yet"))</f>
        <v/>
      </c>
      <c r="I172" s="10" t="str">
        <f aca="false">IF(A172="","",IF(SUMPRODUCT(--EXACT($A$2:$A$201,A172))&gt;1,"Duplicate ID",IF(AND(B172&lt;&gt;"Measurement",B172&lt;&gt;"State or alarm"),"Kind must be Measurement or State or alarm",IF(SUMPRODUCT(--EXACT('2 Assets'!$A$2:$A$201,C172))=0,"Asset is not on the Assets sheet",IF(SUMPRODUCT(--EXACT('1 Measurement types'!$A$2:$A$201,D172))=0,"Not on the Measurement types sheet",IF(INDEX('1 Measurement types'!$B$2:$B$201,MATCH(D172,'1 Measurement types'!$A$2:$A$201,0))&lt;&gt;B172,"Kind does not match its measurement type",IF(AND(B172="Measurement",E172=""),"A measurement needs a unit",IF(AND(B172="Measurement",NOT(EXACT(E172,INDEX('1 Measurement types'!$C$2:$C$201,MATCH(D172,'1 Measurement types'!$A$2:$A$201,0))))),"Unit does not match its measurement type",IF(F172="","Give it a short name","ok")))))))))</f>
        <v/>
      </c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10" t="str">
        <f aca="false">IF(A173="","",IF(SUMPRODUCT(--EXACT('3 Bindings'!$A$2:$A$201,A173))&gt;0,"yes","not yet"))</f>
        <v/>
      </c>
      <c r="I173" s="10" t="str">
        <f aca="false">IF(A173="","",IF(SUMPRODUCT(--EXACT($A$2:$A$201,A173))&gt;1,"Duplicate ID",IF(AND(B173&lt;&gt;"Measurement",B173&lt;&gt;"State or alarm"),"Kind must be Measurement or State or alarm",IF(SUMPRODUCT(--EXACT('2 Assets'!$A$2:$A$201,C173))=0,"Asset is not on the Assets sheet",IF(SUMPRODUCT(--EXACT('1 Measurement types'!$A$2:$A$201,D173))=0,"Not on the Measurement types sheet",IF(INDEX('1 Measurement types'!$B$2:$B$201,MATCH(D173,'1 Measurement types'!$A$2:$A$201,0))&lt;&gt;B173,"Kind does not match its measurement type",IF(AND(B173="Measurement",E173=""),"A measurement needs a unit",IF(AND(B173="Measurement",NOT(EXACT(E173,INDEX('1 Measurement types'!$C$2:$C$201,MATCH(D173,'1 Measurement types'!$A$2:$A$201,0))))),"Unit does not match its measurement type",IF(F173="","Give it a short name","ok")))))))))</f>
        <v/>
      </c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10" t="str">
        <f aca="false">IF(A174="","",IF(SUMPRODUCT(--EXACT('3 Bindings'!$A$2:$A$201,A174))&gt;0,"yes","not yet"))</f>
        <v/>
      </c>
      <c r="I174" s="10" t="str">
        <f aca="false">IF(A174="","",IF(SUMPRODUCT(--EXACT($A$2:$A$201,A174))&gt;1,"Duplicate ID",IF(AND(B174&lt;&gt;"Measurement",B174&lt;&gt;"State or alarm"),"Kind must be Measurement or State or alarm",IF(SUMPRODUCT(--EXACT('2 Assets'!$A$2:$A$201,C174))=0,"Asset is not on the Assets sheet",IF(SUMPRODUCT(--EXACT('1 Measurement types'!$A$2:$A$201,D174))=0,"Not on the Measurement types sheet",IF(INDEX('1 Measurement types'!$B$2:$B$201,MATCH(D174,'1 Measurement types'!$A$2:$A$201,0))&lt;&gt;B174,"Kind does not match its measurement type",IF(AND(B174="Measurement",E174=""),"A measurement needs a unit",IF(AND(B174="Measurement",NOT(EXACT(E174,INDEX('1 Measurement types'!$C$2:$C$201,MATCH(D174,'1 Measurement types'!$A$2:$A$201,0))))),"Unit does not match its measurement type",IF(F174="","Give it a short name","ok")))))))))</f>
        <v/>
      </c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10" t="str">
        <f aca="false">IF(A175="","",IF(SUMPRODUCT(--EXACT('3 Bindings'!$A$2:$A$201,A175))&gt;0,"yes","not yet"))</f>
        <v/>
      </c>
      <c r="I175" s="10" t="str">
        <f aca="false">IF(A175="","",IF(SUMPRODUCT(--EXACT($A$2:$A$201,A175))&gt;1,"Duplicate ID",IF(AND(B175&lt;&gt;"Measurement",B175&lt;&gt;"State or alarm"),"Kind must be Measurement or State or alarm",IF(SUMPRODUCT(--EXACT('2 Assets'!$A$2:$A$201,C175))=0,"Asset is not on the Assets sheet",IF(SUMPRODUCT(--EXACT('1 Measurement types'!$A$2:$A$201,D175))=0,"Not on the Measurement types sheet",IF(INDEX('1 Measurement types'!$B$2:$B$201,MATCH(D175,'1 Measurement types'!$A$2:$A$201,0))&lt;&gt;B175,"Kind does not match its measurement type",IF(AND(B175="Measurement",E175=""),"A measurement needs a unit",IF(AND(B175="Measurement",NOT(EXACT(E175,INDEX('1 Measurement types'!$C$2:$C$201,MATCH(D175,'1 Measurement types'!$A$2:$A$201,0))))),"Unit does not match its measurement type",IF(F175="","Give it a short name","ok")))))))))</f>
        <v/>
      </c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10" t="str">
        <f aca="false">IF(A176="","",IF(SUMPRODUCT(--EXACT('3 Bindings'!$A$2:$A$201,A176))&gt;0,"yes","not yet"))</f>
        <v/>
      </c>
      <c r="I176" s="10" t="str">
        <f aca="false">IF(A176="","",IF(SUMPRODUCT(--EXACT($A$2:$A$201,A176))&gt;1,"Duplicate ID",IF(AND(B176&lt;&gt;"Measurement",B176&lt;&gt;"State or alarm"),"Kind must be Measurement or State or alarm",IF(SUMPRODUCT(--EXACT('2 Assets'!$A$2:$A$201,C176))=0,"Asset is not on the Assets sheet",IF(SUMPRODUCT(--EXACT('1 Measurement types'!$A$2:$A$201,D176))=0,"Not on the Measurement types sheet",IF(INDEX('1 Measurement types'!$B$2:$B$201,MATCH(D176,'1 Measurement types'!$A$2:$A$201,0))&lt;&gt;B176,"Kind does not match its measurement type",IF(AND(B176="Measurement",E176=""),"A measurement needs a unit",IF(AND(B176="Measurement",NOT(EXACT(E176,INDEX('1 Measurement types'!$C$2:$C$201,MATCH(D176,'1 Measurement types'!$A$2:$A$201,0))))),"Unit does not match its measurement type",IF(F176="","Give it a short name","ok")))))))))</f>
        <v/>
      </c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10" t="str">
        <f aca="false">IF(A177="","",IF(SUMPRODUCT(--EXACT('3 Bindings'!$A$2:$A$201,A177))&gt;0,"yes","not yet"))</f>
        <v/>
      </c>
      <c r="I177" s="10" t="str">
        <f aca="false">IF(A177="","",IF(SUMPRODUCT(--EXACT($A$2:$A$201,A177))&gt;1,"Duplicate ID",IF(AND(B177&lt;&gt;"Measurement",B177&lt;&gt;"State or alarm"),"Kind must be Measurement or State or alarm",IF(SUMPRODUCT(--EXACT('2 Assets'!$A$2:$A$201,C177))=0,"Asset is not on the Assets sheet",IF(SUMPRODUCT(--EXACT('1 Measurement types'!$A$2:$A$201,D177))=0,"Not on the Measurement types sheet",IF(INDEX('1 Measurement types'!$B$2:$B$201,MATCH(D177,'1 Measurement types'!$A$2:$A$201,0))&lt;&gt;B177,"Kind does not match its measurement type",IF(AND(B177="Measurement",E177=""),"A measurement needs a unit",IF(AND(B177="Measurement",NOT(EXACT(E177,INDEX('1 Measurement types'!$C$2:$C$201,MATCH(D177,'1 Measurement types'!$A$2:$A$201,0))))),"Unit does not match its measurement type",IF(F177="","Give it a short name","ok")))))))))</f>
        <v/>
      </c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10" t="str">
        <f aca="false">IF(A178="","",IF(SUMPRODUCT(--EXACT('3 Bindings'!$A$2:$A$201,A178))&gt;0,"yes","not yet"))</f>
        <v/>
      </c>
      <c r="I178" s="10" t="str">
        <f aca="false">IF(A178="","",IF(SUMPRODUCT(--EXACT($A$2:$A$201,A178))&gt;1,"Duplicate ID",IF(AND(B178&lt;&gt;"Measurement",B178&lt;&gt;"State or alarm"),"Kind must be Measurement or State or alarm",IF(SUMPRODUCT(--EXACT('2 Assets'!$A$2:$A$201,C178))=0,"Asset is not on the Assets sheet",IF(SUMPRODUCT(--EXACT('1 Measurement types'!$A$2:$A$201,D178))=0,"Not on the Measurement types sheet",IF(INDEX('1 Measurement types'!$B$2:$B$201,MATCH(D178,'1 Measurement types'!$A$2:$A$201,0))&lt;&gt;B178,"Kind does not match its measurement type",IF(AND(B178="Measurement",E178=""),"A measurement needs a unit",IF(AND(B178="Measurement",NOT(EXACT(E178,INDEX('1 Measurement types'!$C$2:$C$201,MATCH(D178,'1 Measurement types'!$A$2:$A$201,0))))),"Unit does not match its measurement type",IF(F178="","Give it a short name","ok")))))))))</f>
        <v/>
      </c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10" t="str">
        <f aca="false">IF(A179="","",IF(SUMPRODUCT(--EXACT('3 Bindings'!$A$2:$A$201,A179))&gt;0,"yes","not yet"))</f>
        <v/>
      </c>
      <c r="I179" s="10" t="str">
        <f aca="false">IF(A179="","",IF(SUMPRODUCT(--EXACT($A$2:$A$201,A179))&gt;1,"Duplicate ID",IF(AND(B179&lt;&gt;"Measurement",B179&lt;&gt;"State or alarm"),"Kind must be Measurement or State or alarm",IF(SUMPRODUCT(--EXACT('2 Assets'!$A$2:$A$201,C179))=0,"Asset is not on the Assets sheet",IF(SUMPRODUCT(--EXACT('1 Measurement types'!$A$2:$A$201,D179))=0,"Not on the Measurement types sheet",IF(INDEX('1 Measurement types'!$B$2:$B$201,MATCH(D179,'1 Measurement types'!$A$2:$A$201,0))&lt;&gt;B179,"Kind does not match its measurement type",IF(AND(B179="Measurement",E179=""),"A measurement needs a unit",IF(AND(B179="Measurement",NOT(EXACT(E179,INDEX('1 Measurement types'!$C$2:$C$201,MATCH(D179,'1 Measurement types'!$A$2:$A$201,0))))),"Unit does not match its measurement type",IF(F179="","Give it a short name","ok")))))))))</f>
        <v/>
      </c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10" t="str">
        <f aca="false">IF(A180="","",IF(SUMPRODUCT(--EXACT('3 Bindings'!$A$2:$A$201,A180))&gt;0,"yes","not yet"))</f>
        <v/>
      </c>
      <c r="I180" s="10" t="str">
        <f aca="false">IF(A180="","",IF(SUMPRODUCT(--EXACT($A$2:$A$201,A180))&gt;1,"Duplicate ID",IF(AND(B180&lt;&gt;"Measurement",B180&lt;&gt;"State or alarm"),"Kind must be Measurement or State or alarm",IF(SUMPRODUCT(--EXACT('2 Assets'!$A$2:$A$201,C180))=0,"Asset is not on the Assets sheet",IF(SUMPRODUCT(--EXACT('1 Measurement types'!$A$2:$A$201,D180))=0,"Not on the Measurement types sheet",IF(INDEX('1 Measurement types'!$B$2:$B$201,MATCH(D180,'1 Measurement types'!$A$2:$A$201,0))&lt;&gt;B180,"Kind does not match its measurement type",IF(AND(B180="Measurement",E180=""),"A measurement needs a unit",IF(AND(B180="Measurement",NOT(EXACT(E180,INDEX('1 Measurement types'!$C$2:$C$201,MATCH(D180,'1 Measurement types'!$A$2:$A$201,0))))),"Unit does not match its measurement type",IF(F180="","Give it a short name","ok")))))))))</f>
        <v/>
      </c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10" t="str">
        <f aca="false">IF(A181="","",IF(SUMPRODUCT(--EXACT('3 Bindings'!$A$2:$A$201,A181))&gt;0,"yes","not yet"))</f>
        <v/>
      </c>
      <c r="I181" s="10" t="str">
        <f aca="false">IF(A181="","",IF(SUMPRODUCT(--EXACT($A$2:$A$201,A181))&gt;1,"Duplicate ID",IF(AND(B181&lt;&gt;"Measurement",B181&lt;&gt;"State or alarm"),"Kind must be Measurement or State or alarm",IF(SUMPRODUCT(--EXACT('2 Assets'!$A$2:$A$201,C181))=0,"Asset is not on the Assets sheet",IF(SUMPRODUCT(--EXACT('1 Measurement types'!$A$2:$A$201,D181))=0,"Not on the Measurement types sheet",IF(INDEX('1 Measurement types'!$B$2:$B$201,MATCH(D181,'1 Measurement types'!$A$2:$A$201,0))&lt;&gt;B181,"Kind does not match its measurement type",IF(AND(B181="Measurement",E181=""),"A measurement needs a unit",IF(AND(B181="Measurement",NOT(EXACT(E181,INDEX('1 Measurement types'!$C$2:$C$201,MATCH(D181,'1 Measurement types'!$A$2:$A$201,0))))),"Unit does not match its measurement type",IF(F181="","Give it a short name","ok")))))))))</f>
        <v/>
      </c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10" t="str">
        <f aca="false">IF(A182="","",IF(SUMPRODUCT(--EXACT('3 Bindings'!$A$2:$A$201,A182))&gt;0,"yes","not yet"))</f>
        <v/>
      </c>
      <c r="I182" s="10" t="str">
        <f aca="false">IF(A182="","",IF(SUMPRODUCT(--EXACT($A$2:$A$201,A182))&gt;1,"Duplicate ID",IF(AND(B182&lt;&gt;"Measurement",B182&lt;&gt;"State or alarm"),"Kind must be Measurement or State or alarm",IF(SUMPRODUCT(--EXACT('2 Assets'!$A$2:$A$201,C182))=0,"Asset is not on the Assets sheet",IF(SUMPRODUCT(--EXACT('1 Measurement types'!$A$2:$A$201,D182))=0,"Not on the Measurement types sheet",IF(INDEX('1 Measurement types'!$B$2:$B$201,MATCH(D182,'1 Measurement types'!$A$2:$A$201,0))&lt;&gt;B182,"Kind does not match its measurement type",IF(AND(B182="Measurement",E182=""),"A measurement needs a unit",IF(AND(B182="Measurement",NOT(EXACT(E182,INDEX('1 Measurement types'!$C$2:$C$201,MATCH(D182,'1 Measurement types'!$A$2:$A$201,0))))),"Unit does not match its measurement type",IF(F182="","Give it a short name","ok")))))))))</f>
        <v/>
      </c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10" t="str">
        <f aca="false">IF(A183="","",IF(SUMPRODUCT(--EXACT('3 Bindings'!$A$2:$A$201,A183))&gt;0,"yes","not yet"))</f>
        <v/>
      </c>
      <c r="I183" s="10" t="str">
        <f aca="false">IF(A183="","",IF(SUMPRODUCT(--EXACT($A$2:$A$201,A183))&gt;1,"Duplicate ID",IF(AND(B183&lt;&gt;"Measurement",B183&lt;&gt;"State or alarm"),"Kind must be Measurement or State or alarm",IF(SUMPRODUCT(--EXACT('2 Assets'!$A$2:$A$201,C183))=0,"Asset is not on the Assets sheet",IF(SUMPRODUCT(--EXACT('1 Measurement types'!$A$2:$A$201,D183))=0,"Not on the Measurement types sheet",IF(INDEX('1 Measurement types'!$B$2:$B$201,MATCH(D183,'1 Measurement types'!$A$2:$A$201,0))&lt;&gt;B183,"Kind does not match its measurement type",IF(AND(B183="Measurement",E183=""),"A measurement needs a unit",IF(AND(B183="Measurement",NOT(EXACT(E183,INDEX('1 Measurement types'!$C$2:$C$201,MATCH(D183,'1 Measurement types'!$A$2:$A$201,0))))),"Unit does not match its measurement type",IF(F183="","Give it a short name","ok")))))))))</f>
        <v/>
      </c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10" t="str">
        <f aca="false">IF(A184="","",IF(SUMPRODUCT(--EXACT('3 Bindings'!$A$2:$A$201,A184))&gt;0,"yes","not yet"))</f>
        <v/>
      </c>
      <c r="I184" s="10" t="str">
        <f aca="false">IF(A184="","",IF(SUMPRODUCT(--EXACT($A$2:$A$201,A184))&gt;1,"Duplicate ID",IF(AND(B184&lt;&gt;"Measurement",B184&lt;&gt;"State or alarm"),"Kind must be Measurement or State or alarm",IF(SUMPRODUCT(--EXACT('2 Assets'!$A$2:$A$201,C184))=0,"Asset is not on the Assets sheet",IF(SUMPRODUCT(--EXACT('1 Measurement types'!$A$2:$A$201,D184))=0,"Not on the Measurement types sheet",IF(INDEX('1 Measurement types'!$B$2:$B$201,MATCH(D184,'1 Measurement types'!$A$2:$A$201,0))&lt;&gt;B184,"Kind does not match its measurement type",IF(AND(B184="Measurement",E184=""),"A measurement needs a unit",IF(AND(B184="Measurement",NOT(EXACT(E184,INDEX('1 Measurement types'!$C$2:$C$201,MATCH(D184,'1 Measurement types'!$A$2:$A$201,0))))),"Unit does not match its measurement type",IF(F184="","Give it a short name","ok")))))))))</f>
        <v/>
      </c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10" t="str">
        <f aca="false">IF(A185="","",IF(SUMPRODUCT(--EXACT('3 Bindings'!$A$2:$A$201,A185))&gt;0,"yes","not yet"))</f>
        <v/>
      </c>
      <c r="I185" s="10" t="str">
        <f aca="false">IF(A185="","",IF(SUMPRODUCT(--EXACT($A$2:$A$201,A185))&gt;1,"Duplicate ID",IF(AND(B185&lt;&gt;"Measurement",B185&lt;&gt;"State or alarm"),"Kind must be Measurement or State or alarm",IF(SUMPRODUCT(--EXACT('2 Assets'!$A$2:$A$201,C185))=0,"Asset is not on the Assets sheet",IF(SUMPRODUCT(--EXACT('1 Measurement types'!$A$2:$A$201,D185))=0,"Not on the Measurement types sheet",IF(INDEX('1 Measurement types'!$B$2:$B$201,MATCH(D185,'1 Measurement types'!$A$2:$A$201,0))&lt;&gt;B185,"Kind does not match its measurement type",IF(AND(B185="Measurement",E185=""),"A measurement needs a unit",IF(AND(B185="Measurement",NOT(EXACT(E185,INDEX('1 Measurement types'!$C$2:$C$201,MATCH(D185,'1 Measurement types'!$A$2:$A$201,0))))),"Unit does not match its measurement type",IF(F185="","Give it a short name","ok")))))))))</f>
        <v/>
      </c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10" t="str">
        <f aca="false">IF(A186="","",IF(SUMPRODUCT(--EXACT('3 Bindings'!$A$2:$A$201,A186))&gt;0,"yes","not yet"))</f>
        <v/>
      </c>
      <c r="I186" s="10" t="str">
        <f aca="false">IF(A186="","",IF(SUMPRODUCT(--EXACT($A$2:$A$201,A186))&gt;1,"Duplicate ID",IF(AND(B186&lt;&gt;"Measurement",B186&lt;&gt;"State or alarm"),"Kind must be Measurement or State or alarm",IF(SUMPRODUCT(--EXACT('2 Assets'!$A$2:$A$201,C186))=0,"Asset is not on the Assets sheet",IF(SUMPRODUCT(--EXACT('1 Measurement types'!$A$2:$A$201,D186))=0,"Not on the Measurement types sheet",IF(INDEX('1 Measurement types'!$B$2:$B$201,MATCH(D186,'1 Measurement types'!$A$2:$A$201,0))&lt;&gt;B186,"Kind does not match its measurement type",IF(AND(B186="Measurement",E186=""),"A measurement needs a unit",IF(AND(B186="Measurement",NOT(EXACT(E186,INDEX('1 Measurement types'!$C$2:$C$201,MATCH(D186,'1 Measurement types'!$A$2:$A$201,0))))),"Unit does not match its measurement type",IF(F186="","Give it a short name","ok")))))))))</f>
        <v/>
      </c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10" t="str">
        <f aca="false">IF(A187="","",IF(SUMPRODUCT(--EXACT('3 Bindings'!$A$2:$A$201,A187))&gt;0,"yes","not yet"))</f>
        <v/>
      </c>
      <c r="I187" s="10" t="str">
        <f aca="false">IF(A187="","",IF(SUMPRODUCT(--EXACT($A$2:$A$201,A187))&gt;1,"Duplicate ID",IF(AND(B187&lt;&gt;"Measurement",B187&lt;&gt;"State or alarm"),"Kind must be Measurement or State or alarm",IF(SUMPRODUCT(--EXACT('2 Assets'!$A$2:$A$201,C187))=0,"Asset is not on the Assets sheet",IF(SUMPRODUCT(--EXACT('1 Measurement types'!$A$2:$A$201,D187))=0,"Not on the Measurement types sheet",IF(INDEX('1 Measurement types'!$B$2:$B$201,MATCH(D187,'1 Measurement types'!$A$2:$A$201,0))&lt;&gt;B187,"Kind does not match its measurement type",IF(AND(B187="Measurement",E187=""),"A measurement needs a unit",IF(AND(B187="Measurement",NOT(EXACT(E187,INDEX('1 Measurement types'!$C$2:$C$201,MATCH(D187,'1 Measurement types'!$A$2:$A$201,0))))),"Unit does not match its measurement type",IF(F187="","Give it a short name","ok")))))))))</f>
        <v/>
      </c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10" t="str">
        <f aca="false">IF(A188="","",IF(SUMPRODUCT(--EXACT('3 Bindings'!$A$2:$A$201,A188))&gt;0,"yes","not yet"))</f>
        <v/>
      </c>
      <c r="I188" s="10" t="str">
        <f aca="false">IF(A188="","",IF(SUMPRODUCT(--EXACT($A$2:$A$201,A188))&gt;1,"Duplicate ID",IF(AND(B188&lt;&gt;"Measurement",B188&lt;&gt;"State or alarm"),"Kind must be Measurement or State or alarm",IF(SUMPRODUCT(--EXACT('2 Assets'!$A$2:$A$201,C188))=0,"Asset is not on the Assets sheet",IF(SUMPRODUCT(--EXACT('1 Measurement types'!$A$2:$A$201,D188))=0,"Not on the Measurement types sheet",IF(INDEX('1 Measurement types'!$B$2:$B$201,MATCH(D188,'1 Measurement types'!$A$2:$A$201,0))&lt;&gt;B188,"Kind does not match its measurement type",IF(AND(B188="Measurement",E188=""),"A measurement needs a unit",IF(AND(B188="Measurement",NOT(EXACT(E188,INDEX('1 Measurement types'!$C$2:$C$201,MATCH(D188,'1 Measurement types'!$A$2:$A$201,0))))),"Unit does not match its measurement type",IF(F188="","Give it a short name","ok")))))))))</f>
        <v/>
      </c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10" t="str">
        <f aca="false">IF(A189="","",IF(SUMPRODUCT(--EXACT('3 Bindings'!$A$2:$A$201,A189))&gt;0,"yes","not yet"))</f>
        <v/>
      </c>
      <c r="I189" s="10" t="str">
        <f aca="false">IF(A189="","",IF(SUMPRODUCT(--EXACT($A$2:$A$201,A189))&gt;1,"Duplicate ID",IF(AND(B189&lt;&gt;"Measurement",B189&lt;&gt;"State or alarm"),"Kind must be Measurement or State or alarm",IF(SUMPRODUCT(--EXACT('2 Assets'!$A$2:$A$201,C189))=0,"Asset is not on the Assets sheet",IF(SUMPRODUCT(--EXACT('1 Measurement types'!$A$2:$A$201,D189))=0,"Not on the Measurement types sheet",IF(INDEX('1 Measurement types'!$B$2:$B$201,MATCH(D189,'1 Measurement types'!$A$2:$A$201,0))&lt;&gt;B189,"Kind does not match its measurement type",IF(AND(B189="Measurement",E189=""),"A measurement needs a unit",IF(AND(B189="Measurement",NOT(EXACT(E189,INDEX('1 Measurement types'!$C$2:$C$201,MATCH(D189,'1 Measurement types'!$A$2:$A$201,0))))),"Unit does not match its measurement type",IF(F189="","Give it a short name","ok")))))))))</f>
        <v/>
      </c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10" t="str">
        <f aca="false">IF(A190="","",IF(SUMPRODUCT(--EXACT('3 Bindings'!$A$2:$A$201,A190))&gt;0,"yes","not yet"))</f>
        <v/>
      </c>
      <c r="I190" s="10" t="str">
        <f aca="false">IF(A190="","",IF(SUMPRODUCT(--EXACT($A$2:$A$201,A190))&gt;1,"Duplicate ID",IF(AND(B190&lt;&gt;"Measurement",B190&lt;&gt;"State or alarm"),"Kind must be Measurement or State or alarm",IF(SUMPRODUCT(--EXACT('2 Assets'!$A$2:$A$201,C190))=0,"Asset is not on the Assets sheet",IF(SUMPRODUCT(--EXACT('1 Measurement types'!$A$2:$A$201,D190))=0,"Not on the Measurement types sheet",IF(INDEX('1 Measurement types'!$B$2:$B$201,MATCH(D190,'1 Measurement types'!$A$2:$A$201,0))&lt;&gt;B190,"Kind does not match its measurement type",IF(AND(B190="Measurement",E190=""),"A measurement needs a unit",IF(AND(B190="Measurement",NOT(EXACT(E190,INDEX('1 Measurement types'!$C$2:$C$201,MATCH(D190,'1 Measurement types'!$A$2:$A$201,0))))),"Unit does not match its measurement type",IF(F190="","Give it a short name","ok")))))))))</f>
        <v/>
      </c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10" t="str">
        <f aca="false">IF(A191="","",IF(SUMPRODUCT(--EXACT('3 Bindings'!$A$2:$A$201,A191))&gt;0,"yes","not yet"))</f>
        <v/>
      </c>
      <c r="I191" s="10" t="str">
        <f aca="false">IF(A191="","",IF(SUMPRODUCT(--EXACT($A$2:$A$201,A191))&gt;1,"Duplicate ID",IF(AND(B191&lt;&gt;"Measurement",B191&lt;&gt;"State or alarm"),"Kind must be Measurement or State or alarm",IF(SUMPRODUCT(--EXACT('2 Assets'!$A$2:$A$201,C191))=0,"Asset is not on the Assets sheet",IF(SUMPRODUCT(--EXACT('1 Measurement types'!$A$2:$A$201,D191))=0,"Not on the Measurement types sheet",IF(INDEX('1 Measurement types'!$B$2:$B$201,MATCH(D191,'1 Measurement types'!$A$2:$A$201,0))&lt;&gt;B191,"Kind does not match its measurement type",IF(AND(B191="Measurement",E191=""),"A measurement needs a unit",IF(AND(B191="Measurement",NOT(EXACT(E191,INDEX('1 Measurement types'!$C$2:$C$201,MATCH(D191,'1 Measurement types'!$A$2:$A$201,0))))),"Unit does not match its measurement type",IF(F191="","Give it a short name","ok")))))))))</f>
        <v/>
      </c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10" t="str">
        <f aca="false">IF(A192="","",IF(SUMPRODUCT(--EXACT('3 Bindings'!$A$2:$A$201,A192))&gt;0,"yes","not yet"))</f>
        <v/>
      </c>
      <c r="I192" s="10" t="str">
        <f aca="false">IF(A192="","",IF(SUMPRODUCT(--EXACT($A$2:$A$201,A192))&gt;1,"Duplicate ID",IF(AND(B192&lt;&gt;"Measurement",B192&lt;&gt;"State or alarm"),"Kind must be Measurement or State or alarm",IF(SUMPRODUCT(--EXACT('2 Assets'!$A$2:$A$201,C192))=0,"Asset is not on the Assets sheet",IF(SUMPRODUCT(--EXACT('1 Measurement types'!$A$2:$A$201,D192))=0,"Not on the Measurement types sheet",IF(INDEX('1 Measurement types'!$B$2:$B$201,MATCH(D192,'1 Measurement types'!$A$2:$A$201,0))&lt;&gt;B192,"Kind does not match its measurement type",IF(AND(B192="Measurement",E192=""),"A measurement needs a unit",IF(AND(B192="Measurement",NOT(EXACT(E192,INDEX('1 Measurement types'!$C$2:$C$201,MATCH(D192,'1 Measurement types'!$A$2:$A$201,0))))),"Unit does not match its measurement type",IF(F192="","Give it a short name","ok")))))))))</f>
        <v/>
      </c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10" t="str">
        <f aca="false">IF(A193="","",IF(SUMPRODUCT(--EXACT('3 Bindings'!$A$2:$A$201,A193))&gt;0,"yes","not yet"))</f>
        <v/>
      </c>
      <c r="I193" s="10" t="str">
        <f aca="false">IF(A193="","",IF(SUMPRODUCT(--EXACT($A$2:$A$201,A193))&gt;1,"Duplicate ID",IF(AND(B193&lt;&gt;"Measurement",B193&lt;&gt;"State or alarm"),"Kind must be Measurement or State or alarm",IF(SUMPRODUCT(--EXACT('2 Assets'!$A$2:$A$201,C193))=0,"Asset is not on the Assets sheet",IF(SUMPRODUCT(--EXACT('1 Measurement types'!$A$2:$A$201,D193))=0,"Not on the Measurement types sheet",IF(INDEX('1 Measurement types'!$B$2:$B$201,MATCH(D193,'1 Measurement types'!$A$2:$A$201,0))&lt;&gt;B193,"Kind does not match its measurement type",IF(AND(B193="Measurement",E193=""),"A measurement needs a unit",IF(AND(B193="Measurement",NOT(EXACT(E193,INDEX('1 Measurement types'!$C$2:$C$201,MATCH(D193,'1 Measurement types'!$A$2:$A$201,0))))),"Unit does not match its measurement type",IF(F193="","Give it a short name","ok")))))))))</f>
        <v/>
      </c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10" t="str">
        <f aca="false">IF(A194="","",IF(SUMPRODUCT(--EXACT('3 Bindings'!$A$2:$A$201,A194))&gt;0,"yes","not yet"))</f>
        <v/>
      </c>
      <c r="I194" s="10" t="str">
        <f aca="false">IF(A194="","",IF(SUMPRODUCT(--EXACT($A$2:$A$201,A194))&gt;1,"Duplicate ID",IF(AND(B194&lt;&gt;"Measurement",B194&lt;&gt;"State or alarm"),"Kind must be Measurement or State or alarm",IF(SUMPRODUCT(--EXACT('2 Assets'!$A$2:$A$201,C194))=0,"Asset is not on the Assets sheet",IF(SUMPRODUCT(--EXACT('1 Measurement types'!$A$2:$A$201,D194))=0,"Not on the Measurement types sheet",IF(INDEX('1 Measurement types'!$B$2:$B$201,MATCH(D194,'1 Measurement types'!$A$2:$A$201,0))&lt;&gt;B194,"Kind does not match its measurement type",IF(AND(B194="Measurement",E194=""),"A measurement needs a unit",IF(AND(B194="Measurement",NOT(EXACT(E194,INDEX('1 Measurement types'!$C$2:$C$201,MATCH(D194,'1 Measurement types'!$A$2:$A$201,0))))),"Unit does not match its measurement type",IF(F194="","Give it a short name","ok")))))))))</f>
        <v/>
      </c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10" t="str">
        <f aca="false">IF(A195="","",IF(SUMPRODUCT(--EXACT('3 Bindings'!$A$2:$A$201,A195))&gt;0,"yes","not yet"))</f>
        <v/>
      </c>
      <c r="I195" s="10" t="str">
        <f aca="false">IF(A195="","",IF(SUMPRODUCT(--EXACT($A$2:$A$201,A195))&gt;1,"Duplicate ID",IF(AND(B195&lt;&gt;"Measurement",B195&lt;&gt;"State or alarm"),"Kind must be Measurement or State or alarm",IF(SUMPRODUCT(--EXACT('2 Assets'!$A$2:$A$201,C195))=0,"Asset is not on the Assets sheet",IF(SUMPRODUCT(--EXACT('1 Measurement types'!$A$2:$A$201,D195))=0,"Not on the Measurement types sheet",IF(INDEX('1 Measurement types'!$B$2:$B$201,MATCH(D195,'1 Measurement types'!$A$2:$A$201,0))&lt;&gt;B195,"Kind does not match its measurement type",IF(AND(B195="Measurement",E195=""),"A measurement needs a unit",IF(AND(B195="Measurement",NOT(EXACT(E195,INDEX('1 Measurement types'!$C$2:$C$201,MATCH(D195,'1 Measurement types'!$A$2:$A$201,0))))),"Unit does not match its measurement type",IF(F195="","Give it a short name","ok")))))))))</f>
        <v/>
      </c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10" t="str">
        <f aca="false">IF(A196="","",IF(SUMPRODUCT(--EXACT('3 Bindings'!$A$2:$A$201,A196))&gt;0,"yes","not yet"))</f>
        <v/>
      </c>
      <c r="I196" s="10" t="str">
        <f aca="false">IF(A196="","",IF(SUMPRODUCT(--EXACT($A$2:$A$201,A196))&gt;1,"Duplicate ID",IF(AND(B196&lt;&gt;"Measurement",B196&lt;&gt;"State or alarm"),"Kind must be Measurement or State or alarm",IF(SUMPRODUCT(--EXACT('2 Assets'!$A$2:$A$201,C196))=0,"Asset is not on the Assets sheet",IF(SUMPRODUCT(--EXACT('1 Measurement types'!$A$2:$A$201,D196))=0,"Not on the Measurement types sheet",IF(INDEX('1 Measurement types'!$B$2:$B$201,MATCH(D196,'1 Measurement types'!$A$2:$A$201,0))&lt;&gt;B196,"Kind does not match its measurement type",IF(AND(B196="Measurement",E196=""),"A measurement needs a unit",IF(AND(B196="Measurement",NOT(EXACT(E196,INDEX('1 Measurement types'!$C$2:$C$201,MATCH(D196,'1 Measurement types'!$A$2:$A$201,0))))),"Unit does not match its measurement type",IF(F196="","Give it a short name","ok")))))))))</f>
        <v/>
      </c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10" t="str">
        <f aca="false">IF(A197="","",IF(SUMPRODUCT(--EXACT('3 Bindings'!$A$2:$A$201,A197))&gt;0,"yes","not yet"))</f>
        <v/>
      </c>
      <c r="I197" s="10" t="str">
        <f aca="false">IF(A197="","",IF(SUMPRODUCT(--EXACT($A$2:$A$201,A197))&gt;1,"Duplicate ID",IF(AND(B197&lt;&gt;"Measurement",B197&lt;&gt;"State or alarm"),"Kind must be Measurement or State or alarm",IF(SUMPRODUCT(--EXACT('2 Assets'!$A$2:$A$201,C197))=0,"Asset is not on the Assets sheet",IF(SUMPRODUCT(--EXACT('1 Measurement types'!$A$2:$A$201,D197))=0,"Not on the Measurement types sheet",IF(INDEX('1 Measurement types'!$B$2:$B$201,MATCH(D197,'1 Measurement types'!$A$2:$A$201,0))&lt;&gt;B197,"Kind does not match its measurement type",IF(AND(B197="Measurement",E197=""),"A measurement needs a unit",IF(AND(B197="Measurement",NOT(EXACT(E197,INDEX('1 Measurement types'!$C$2:$C$201,MATCH(D197,'1 Measurement types'!$A$2:$A$201,0))))),"Unit does not match its measurement type",IF(F197="","Give it a short name","ok")))))))))</f>
        <v/>
      </c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10" t="str">
        <f aca="false">IF(A198="","",IF(SUMPRODUCT(--EXACT('3 Bindings'!$A$2:$A$201,A198))&gt;0,"yes","not yet"))</f>
        <v/>
      </c>
      <c r="I198" s="10" t="str">
        <f aca="false">IF(A198="","",IF(SUMPRODUCT(--EXACT($A$2:$A$201,A198))&gt;1,"Duplicate ID",IF(AND(B198&lt;&gt;"Measurement",B198&lt;&gt;"State or alarm"),"Kind must be Measurement or State or alarm",IF(SUMPRODUCT(--EXACT('2 Assets'!$A$2:$A$201,C198))=0,"Asset is not on the Assets sheet",IF(SUMPRODUCT(--EXACT('1 Measurement types'!$A$2:$A$201,D198))=0,"Not on the Measurement types sheet",IF(INDEX('1 Measurement types'!$B$2:$B$201,MATCH(D198,'1 Measurement types'!$A$2:$A$201,0))&lt;&gt;B198,"Kind does not match its measurement type",IF(AND(B198="Measurement",E198=""),"A measurement needs a unit",IF(AND(B198="Measurement",NOT(EXACT(E198,INDEX('1 Measurement types'!$C$2:$C$201,MATCH(D198,'1 Measurement types'!$A$2:$A$201,0))))),"Unit does not match its measurement type",IF(F198="","Give it a short name","ok")))))))))</f>
        <v/>
      </c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10" t="str">
        <f aca="false">IF(A199="","",IF(SUMPRODUCT(--EXACT('3 Bindings'!$A$2:$A$201,A199))&gt;0,"yes","not yet"))</f>
        <v/>
      </c>
      <c r="I199" s="10" t="str">
        <f aca="false">IF(A199="","",IF(SUMPRODUCT(--EXACT($A$2:$A$201,A199))&gt;1,"Duplicate ID",IF(AND(B199&lt;&gt;"Measurement",B199&lt;&gt;"State or alarm"),"Kind must be Measurement or State or alarm",IF(SUMPRODUCT(--EXACT('2 Assets'!$A$2:$A$201,C199))=0,"Asset is not on the Assets sheet",IF(SUMPRODUCT(--EXACT('1 Measurement types'!$A$2:$A$201,D199))=0,"Not on the Measurement types sheet",IF(INDEX('1 Measurement types'!$B$2:$B$201,MATCH(D199,'1 Measurement types'!$A$2:$A$201,0))&lt;&gt;B199,"Kind does not match its measurement type",IF(AND(B199="Measurement",E199=""),"A measurement needs a unit",IF(AND(B199="Measurement",NOT(EXACT(E199,INDEX('1 Measurement types'!$C$2:$C$201,MATCH(D199,'1 Measurement types'!$A$2:$A$201,0))))),"Unit does not match its measurement type",IF(F199="","Give it a short name","ok")))))))))</f>
        <v/>
      </c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10" t="str">
        <f aca="false">IF(A200="","",IF(SUMPRODUCT(--EXACT('3 Bindings'!$A$2:$A$201,A200))&gt;0,"yes","not yet"))</f>
        <v/>
      </c>
      <c r="I200" s="10" t="str">
        <f aca="false">IF(A200="","",IF(SUMPRODUCT(--EXACT($A$2:$A$201,A200))&gt;1,"Duplicate ID",IF(AND(B200&lt;&gt;"Measurement",B200&lt;&gt;"State or alarm"),"Kind must be Measurement or State or alarm",IF(SUMPRODUCT(--EXACT('2 Assets'!$A$2:$A$201,C200))=0,"Asset is not on the Assets sheet",IF(SUMPRODUCT(--EXACT('1 Measurement types'!$A$2:$A$201,D200))=0,"Not on the Measurement types sheet",IF(INDEX('1 Measurement types'!$B$2:$B$201,MATCH(D200,'1 Measurement types'!$A$2:$A$201,0))&lt;&gt;B200,"Kind does not match its measurement type",IF(AND(B200="Measurement",E200=""),"A measurement needs a unit",IF(AND(B200="Measurement",NOT(EXACT(E200,INDEX('1 Measurement types'!$C$2:$C$201,MATCH(D200,'1 Measurement types'!$A$2:$A$201,0))))),"Unit does not match its measurement type",IF(F200="","Give it a short name","ok")))))))))</f>
        <v/>
      </c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10" t="str">
        <f aca="false">IF(A201="","",IF(SUMPRODUCT(--EXACT('3 Bindings'!$A$2:$A$201,A201))&gt;0,"yes","not yet"))</f>
        <v/>
      </c>
      <c r="I201" s="10" t="str">
        <f aca="false">IF(A201="","",IF(SUMPRODUCT(--EXACT($A$2:$A$201,A201))&gt;1,"Duplicate ID",IF(AND(B201&lt;&gt;"Measurement",B201&lt;&gt;"State or alarm"),"Kind must be Measurement or State or alarm",IF(SUMPRODUCT(--EXACT('2 Assets'!$A$2:$A$201,C201))=0,"Asset is not on the Assets sheet",IF(SUMPRODUCT(--EXACT('1 Measurement types'!$A$2:$A$201,D201))=0,"Not on the Measurement types sheet",IF(INDEX('1 Measurement types'!$B$2:$B$201,MATCH(D201,'1 Measurement types'!$A$2:$A$201,0))&lt;&gt;B201,"Kind does not match its measurement type",IF(AND(B201="Measurement",E201=""),"A measurement needs a unit",IF(AND(B201="Measurement",NOT(EXACT(E201,INDEX('1 Measurement types'!$C$2:$C$201,MATCH(D201,'1 Measurement types'!$A$2:$A$201,0))))),"Unit does not match its measurement type",IF(F201="","Give it a short name","ok")))))))))</f>
        <v/>
      </c>
    </row>
  </sheetData>
  <dataValidations count="3">
    <dataValidation allowBlank="true" error="This value is not on the list. The check column will flag it." errorStyle="warning" errorTitle="Not on the list" operator="between" prompt="Measurement (a number with a unit) or State or alarm." showDropDown="false" showErrorMessage="true" showInputMessage="true" sqref="B2:B201" type="list">
      <formula1>"Measurement,State or alarm"</formula1>
      <formula2>0</formula2>
    </dataValidation>
    <dataValidation allowBlank="true" error="This value is not on the list. The check column will flag it." errorStyle="warning" errorTitle="Not on the list" operator="between" prompt="Pick the asset from the Assets sheet." showDropDown="false" showErrorMessage="true" showInputMessage="true" sqref="C2:C201" type="list">
      <formula1>'2 Assets'!$A$2:$A$201</formula1>
      <formula2>0</formula2>
    </dataValidation>
    <dataValidation allowBlank="true" error="This value is not on the list. The check column will flag it." errorStyle="warning" errorTitle="Not on the list" operator="between" prompt="Pick from the Measurement types sheet." showDropDown="false" showErrorMessage="true" showInputMessage="true" sqref="D2:D201" type="list">
      <formula1>'1 Measurement types'!$A$2:$A$201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44"/>
  </cols>
  <sheetData>
    <row r="1" customFormat="false" ht="31.5" hidden="false" customHeight="true" outlineLevel="0" collapsed="false">
      <c r="A1" s="8" t="s">
        <v>157</v>
      </c>
      <c r="B1" s="8" t="s">
        <v>128</v>
      </c>
      <c r="C1" s="8" t="s">
        <v>158</v>
      </c>
      <c r="D1" s="8" t="s">
        <v>49</v>
      </c>
    </row>
    <row r="2" customFormat="false" ht="15" hidden="false" customHeight="false" outlineLevel="0" collapsed="false">
      <c r="A2" s="9"/>
      <c r="B2" s="9"/>
      <c r="C2" s="9"/>
      <c r="D2" s="10" t="str">
        <f aca="false">IF(A2="","",IF(SUMPRODUCT(--EXACT('2 Assets'!$A$2:$A$201,A2))=0,"'From' is not an asset",IF(SUMPRODUCT(--EXACT('2 Assets'!$A$2:$A$201,C2))=0,"'To' is not an asset",IF(SUMPRODUCT(--EXACT('1 Relationship types'!$A$2:$A$201,B2))=0,"Relationship is not defined",IF(A2=C2,"An asset cannot relate to itself",IF(SUMPRODUCT(--EXACT($A$2:$A$201,A2),--EXACT($B$2:$B$201,B2),--EXACT($C$2:$C$201,C2))&gt;1,"Listed twice","ok"))))))</f>
        <v/>
      </c>
    </row>
    <row r="3" customFormat="false" ht="15" hidden="false" customHeight="false" outlineLevel="0" collapsed="false">
      <c r="A3" s="9"/>
      <c r="B3" s="9"/>
      <c r="C3" s="9"/>
      <c r="D3" s="10" t="str">
        <f aca="false">IF(A3="","",IF(SUMPRODUCT(--EXACT('2 Assets'!$A$2:$A$201,A3))=0,"'From' is not an asset",IF(SUMPRODUCT(--EXACT('2 Assets'!$A$2:$A$201,C3))=0,"'To' is not an asset",IF(SUMPRODUCT(--EXACT('1 Relationship types'!$A$2:$A$201,B3))=0,"Relationship is not defined",IF(A3=C3,"An asset cannot relate to itself",IF(SUMPRODUCT(--EXACT($A$2:$A$201,A3),--EXACT($B$2:$B$201,B3),--EXACT($C$2:$C$201,C3))&gt;1,"Listed twice","ok"))))))</f>
        <v/>
      </c>
    </row>
    <row r="4" customFormat="false" ht="15" hidden="false" customHeight="false" outlineLevel="0" collapsed="false">
      <c r="A4" s="9"/>
      <c r="B4" s="9"/>
      <c r="C4" s="9"/>
      <c r="D4" s="10" t="str">
        <f aca="false">IF(A4="","",IF(SUMPRODUCT(--EXACT('2 Assets'!$A$2:$A$201,A4))=0,"'From' is not an asset",IF(SUMPRODUCT(--EXACT('2 Assets'!$A$2:$A$201,C4))=0,"'To' is not an asset",IF(SUMPRODUCT(--EXACT('1 Relationship types'!$A$2:$A$201,B4))=0,"Relationship is not defined",IF(A4=C4,"An asset cannot relate to itself",IF(SUMPRODUCT(--EXACT($A$2:$A$201,A4),--EXACT($B$2:$B$201,B4),--EXACT($C$2:$C$201,C4))&gt;1,"Listed twice","ok"))))))</f>
        <v/>
      </c>
    </row>
    <row r="5" customFormat="false" ht="15" hidden="false" customHeight="false" outlineLevel="0" collapsed="false">
      <c r="A5" s="9"/>
      <c r="B5" s="9"/>
      <c r="C5" s="9"/>
      <c r="D5" s="10" t="str">
        <f aca="false">IF(A5="","",IF(SUMPRODUCT(--EXACT('2 Assets'!$A$2:$A$201,A5))=0,"'From' is not an asset",IF(SUMPRODUCT(--EXACT('2 Assets'!$A$2:$A$201,C5))=0,"'To' is not an asset",IF(SUMPRODUCT(--EXACT('1 Relationship types'!$A$2:$A$201,B5))=0,"Relationship is not defined",IF(A5=C5,"An asset cannot relate to itself",IF(SUMPRODUCT(--EXACT($A$2:$A$201,A5),--EXACT($B$2:$B$201,B5),--EXACT($C$2:$C$201,C5))&gt;1,"Listed twice","ok"))))))</f>
        <v/>
      </c>
    </row>
    <row r="6" customFormat="false" ht="15" hidden="false" customHeight="false" outlineLevel="0" collapsed="false">
      <c r="A6" s="9"/>
      <c r="B6" s="9"/>
      <c r="C6" s="9"/>
      <c r="D6" s="10" t="str">
        <f aca="false">IF(A6="","",IF(SUMPRODUCT(--EXACT('2 Assets'!$A$2:$A$201,A6))=0,"'From' is not an asset",IF(SUMPRODUCT(--EXACT('2 Assets'!$A$2:$A$201,C6))=0,"'To' is not an asset",IF(SUMPRODUCT(--EXACT('1 Relationship types'!$A$2:$A$201,B6))=0,"Relationship is not defined",IF(A6=C6,"An asset cannot relate to itself",IF(SUMPRODUCT(--EXACT($A$2:$A$201,A6),--EXACT($B$2:$B$201,B6),--EXACT($C$2:$C$201,C6))&gt;1,"Listed twice","ok"))))))</f>
        <v/>
      </c>
    </row>
    <row r="7" customFormat="false" ht="15" hidden="false" customHeight="false" outlineLevel="0" collapsed="false">
      <c r="A7" s="9"/>
      <c r="B7" s="9"/>
      <c r="C7" s="9"/>
      <c r="D7" s="10" t="str">
        <f aca="false">IF(A7="","",IF(SUMPRODUCT(--EXACT('2 Assets'!$A$2:$A$201,A7))=0,"'From' is not an asset",IF(SUMPRODUCT(--EXACT('2 Assets'!$A$2:$A$201,C7))=0,"'To' is not an asset",IF(SUMPRODUCT(--EXACT('1 Relationship types'!$A$2:$A$201,B7))=0,"Relationship is not defined",IF(A7=C7,"An asset cannot relate to itself",IF(SUMPRODUCT(--EXACT($A$2:$A$201,A7),--EXACT($B$2:$B$201,B7),--EXACT($C$2:$C$201,C7))&gt;1,"Listed twice","ok"))))))</f>
        <v/>
      </c>
    </row>
    <row r="8" customFormat="false" ht="15" hidden="false" customHeight="false" outlineLevel="0" collapsed="false">
      <c r="A8" s="9"/>
      <c r="B8" s="9"/>
      <c r="C8" s="9"/>
      <c r="D8" s="10" t="str">
        <f aca="false">IF(A8="","",IF(SUMPRODUCT(--EXACT('2 Assets'!$A$2:$A$201,A8))=0,"'From' is not an asset",IF(SUMPRODUCT(--EXACT('2 Assets'!$A$2:$A$201,C8))=0,"'To' is not an asset",IF(SUMPRODUCT(--EXACT('1 Relationship types'!$A$2:$A$201,B8))=0,"Relationship is not defined",IF(A8=C8,"An asset cannot relate to itself",IF(SUMPRODUCT(--EXACT($A$2:$A$201,A8),--EXACT($B$2:$B$201,B8),--EXACT($C$2:$C$201,C8))&gt;1,"Listed twice","ok"))))))</f>
        <v/>
      </c>
    </row>
    <row r="9" customFormat="false" ht="15" hidden="false" customHeight="false" outlineLevel="0" collapsed="false">
      <c r="A9" s="9"/>
      <c r="B9" s="9"/>
      <c r="C9" s="9"/>
      <c r="D9" s="10" t="str">
        <f aca="false">IF(A9="","",IF(SUMPRODUCT(--EXACT('2 Assets'!$A$2:$A$201,A9))=0,"'From' is not an asset",IF(SUMPRODUCT(--EXACT('2 Assets'!$A$2:$A$201,C9))=0,"'To' is not an asset",IF(SUMPRODUCT(--EXACT('1 Relationship types'!$A$2:$A$201,B9))=0,"Relationship is not defined",IF(A9=C9,"An asset cannot relate to itself",IF(SUMPRODUCT(--EXACT($A$2:$A$201,A9),--EXACT($B$2:$B$201,B9),--EXACT($C$2:$C$201,C9))&gt;1,"Listed twice","ok"))))))</f>
        <v/>
      </c>
    </row>
    <row r="10" customFormat="false" ht="15" hidden="false" customHeight="false" outlineLevel="0" collapsed="false">
      <c r="A10" s="9"/>
      <c r="B10" s="9"/>
      <c r="C10" s="9"/>
      <c r="D10" s="10" t="str">
        <f aca="false">IF(A10="","",IF(SUMPRODUCT(--EXACT('2 Assets'!$A$2:$A$201,A10))=0,"'From' is not an asset",IF(SUMPRODUCT(--EXACT('2 Assets'!$A$2:$A$201,C10))=0,"'To' is not an asset",IF(SUMPRODUCT(--EXACT('1 Relationship types'!$A$2:$A$201,B10))=0,"Relationship is not defined",IF(A10=C10,"An asset cannot relate to itself",IF(SUMPRODUCT(--EXACT($A$2:$A$201,A10),--EXACT($B$2:$B$201,B10),--EXACT($C$2:$C$201,C10))&gt;1,"Listed twice","ok"))))))</f>
        <v/>
      </c>
    </row>
    <row r="11" customFormat="false" ht="15" hidden="false" customHeight="false" outlineLevel="0" collapsed="false">
      <c r="A11" s="9"/>
      <c r="B11" s="9"/>
      <c r="C11" s="9"/>
      <c r="D11" s="10" t="str">
        <f aca="false">IF(A11="","",IF(SUMPRODUCT(--EXACT('2 Assets'!$A$2:$A$201,A11))=0,"'From' is not an asset",IF(SUMPRODUCT(--EXACT('2 Assets'!$A$2:$A$201,C11))=0,"'To' is not an asset",IF(SUMPRODUCT(--EXACT('1 Relationship types'!$A$2:$A$201,B11))=0,"Relationship is not defined",IF(A11=C11,"An asset cannot relate to itself",IF(SUMPRODUCT(--EXACT($A$2:$A$201,A11),--EXACT($B$2:$B$201,B11),--EXACT($C$2:$C$201,C11))&gt;1,"Listed twice","ok"))))))</f>
        <v/>
      </c>
    </row>
    <row r="12" customFormat="false" ht="15" hidden="false" customHeight="false" outlineLevel="0" collapsed="false">
      <c r="A12" s="9"/>
      <c r="B12" s="9"/>
      <c r="C12" s="9"/>
      <c r="D12" s="10" t="str">
        <f aca="false">IF(A12="","",IF(SUMPRODUCT(--EXACT('2 Assets'!$A$2:$A$201,A12))=0,"'From' is not an asset",IF(SUMPRODUCT(--EXACT('2 Assets'!$A$2:$A$201,C12))=0,"'To' is not an asset",IF(SUMPRODUCT(--EXACT('1 Relationship types'!$A$2:$A$201,B12))=0,"Relationship is not defined",IF(A12=C12,"An asset cannot relate to itself",IF(SUMPRODUCT(--EXACT($A$2:$A$201,A12),--EXACT($B$2:$B$201,B12),--EXACT($C$2:$C$201,C12))&gt;1,"Listed twice","ok"))))))</f>
        <v/>
      </c>
    </row>
    <row r="13" customFormat="false" ht="15" hidden="false" customHeight="false" outlineLevel="0" collapsed="false">
      <c r="A13" s="9"/>
      <c r="B13" s="9"/>
      <c r="C13" s="9"/>
      <c r="D13" s="10" t="str">
        <f aca="false">IF(A13="","",IF(SUMPRODUCT(--EXACT('2 Assets'!$A$2:$A$201,A13))=0,"'From' is not an asset",IF(SUMPRODUCT(--EXACT('2 Assets'!$A$2:$A$201,C13))=0,"'To' is not an asset",IF(SUMPRODUCT(--EXACT('1 Relationship types'!$A$2:$A$201,B13))=0,"Relationship is not defined",IF(A13=C13,"An asset cannot relate to itself",IF(SUMPRODUCT(--EXACT($A$2:$A$201,A13),--EXACT($B$2:$B$201,B13),--EXACT($C$2:$C$201,C13))&gt;1,"Listed twice","ok"))))))</f>
        <v/>
      </c>
    </row>
    <row r="14" customFormat="false" ht="15" hidden="false" customHeight="false" outlineLevel="0" collapsed="false">
      <c r="A14" s="9"/>
      <c r="B14" s="9"/>
      <c r="C14" s="9"/>
      <c r="D14" s="10" t="str">
        <f aca="false">IF(A14="","",IF(SUMPRODUCT(--EXACT('2 Assets'!$A$2:$A$201,A14))=0,"'From' is not an asset",IF(SUMPRODUCT(--EXACT('2 Assets'!$A$2:$A$201,C14))=0,"'To' is not an asset",IF(SUMPRODUCT(--EXACT('1 Relationship types'!$A$2:$A$201,B14))=0,"Relationship is not defined",IF(A14=C14,"An asset cannot relate to itself",IF(SUMPRODUCT(--EXACT($A$2:$A$201,A14),--EXACT($B$2:$B$201,B14),--EXACT($C$2:$C$201,C14))&gt;1,"Listed twice","ok"))))))</f>
        <v/>
      </c>
    </row>
    <row r="15" customFormat="false" ht="15" hidden="false" customHeight="false" outlineLevel="0" collapsed="false">
      <c r="A15" s="9"/>
      <c r="B15" s="9"/>
      <c r="C15" s="9"/>
      <c r="D15" s="10" t="str">
        <f aca="false">IF(A15="","",IF(SUMPRODUCT(--EXACT('2 Assets'!$A$2:$A$201,A15))=0,"'From' is not an asset",IF(SUMPRODUCT(--EXACT('2 Assets'!$A$2:$A$201,C15))=0,"'To' is not an asset",IF(SUMPRODUCT(--EXACT('1 Relationship types'!$A$2:$A$201,B15))=0,"Relationship is not defined",IF(A15=C15,"An asset cannot relate to itself",IF(SUMPRODUCT(--EXACT($A$2:$A$201,A15),--EXACT($B$2:$B$201,B15),--EXACT($C$2:$C$201,C15))&gt;1,"Listed twice","ok"))))))</f>
        <v/>
      </c>
    </row>
    <row r="16" customFormat="false" ht="15" hidden="false" customHeight="false" outlineLevel="0" collapsed="false">
      <c r="A16" s="9"/>
      <c r="B16" s="9"/>
      <c r="C16" s="9"/>
      <c r="D16" s="10" t="str">
        <f aca="false">IF(A16="","",IF(SUMPRODUCT(--EXACT('2 Assets'!$A$2:$A$201,A16))=0,"'From' is not an asset",IF(SUMPRODUCT(--EXACT('2 Assets'!$A$2:$A$201,C16))=0,"'To' is not an asset",IF(SUMPRODUCT(--EXACT('1 Relationship types'!$A$2:$A$201,B16))=0,"Relationship is not defined",IF(A16=C16,"An asset cannot relate to itself",IF(SUMPRODUCT(--EXACT($A$2:$A$201,A16),--EXACT($B$2:$B$201,B16),--EXACT($C$2:$C$201,C16))&gt;1,"Listed twice","ok"))))))</f>
        <v/>
      </c>
    </row>
    <row r="17" customFormat="false" ht="15" hidden="false" customHeight="false" outlineLevel="0" collapsed="false">
      <c r="A17" s="9"/>
      <c r="B17" s="9"/>
      <c r="C17" s="9"/>
      <c r="D17" s="10" t="str">
        <f aca="false">IF(A17="","",IF(SUMPRODUCT(--EXACT('2 Assets'!$A$2:$A$201,A17))=0,"'From' is not an asset",IF(SUMPRODUCT(--EXACT('2 Assets'!$A$2:$A$201,C17))=0,"'To' is not an asset",IF(SUMPRODUCT(--EXACT('1 Relationship types'!$A$2:$A$201,B17))=0,"Relationship is not defined",IF(A17=C17,"An asset cannot relate to itself",IF(SUMPRODUCT(--EXACT($A$2:$A$201,A17),--EXACT($B$2:$B$201,B17),--EXACT($C$2:$C$201,C17))&gt;1,"Listed twice","ok"))))))</f>
        <v/>
      </c>
    </row>
    <row r="18" customFormat="false" ht="15" hidden="false" customHeight="false" outlineLevel="0" collapsed="false">
      <c r="A18" s="9"/>
      <c r="B18" s="9"/>
      <c r="C18" s="9"/>
      <c r="D18" s="10" t="str">
        <f aca="false">IF(A18="","",IF(SUMPRODUCT(--EXACT('2 Assets'!$A$2:$A$201,A18))=0,"'From' is not an asset",IF(SUMPRODUCT(--EXACT('2 Assets'!$A$2:$A$201,C18))=0,"'To' is not an asset",IF(SUMPRODUCT(--EXACT('1 Relationship types'!$A$2:$A$201,B18))=0,"Relationship is not defined",IF(A18=C18,"An asset cannot relate to itself",IF(SUMPRODUCT(--EXACT($A$2:$A$201,A18),--EXACT($B$2:$B$201,B18),--EXACT($C$2:$C$201,C18))&gt;1,"Listed twice","ok"))))))</f>
        <v/>
      </c>
    </row>
    <row r="19" customFormat="false" ht="15" hidden="false" customHeight="false" outlineLevel="0" collapsed="false">
      <c r="A19" s="9"/>
      <c r="B19" s="9"/>
      <c r="C19" s="9"/>
      <c r="D19" s="10" t="str">
        <f aca="false">IF(A19="","",IF(SUMPRODUCT(--EXACT('2 Assets'!$A$2:$A$201,A19))=0,"'From' is not an asset",IF(SUMPRODUCT(--EXACT('2 Assets'!$A$2:$A$201,C19))=0,"'To' is not an asset",IF(SUMPRODUCT(--EXACT('1 Relationship types'!$A$2:$A$201,B19))=0,"Relationship is not defined",IF(A19=C19,"An asset cannot relate to itself",IF(SUMPRODUCT(--EXACT($A$2:$A$201,A19),--EXACT($B$2:$B$201,B19),--EXACT($C$2:$C$201,C19))&gt;1,"Listed twice","ok"))))))</f>
        <v/>
      </c>
    </row>
    <row r="20" customFormat="false" ht="15" hidden="false" customHeight="false" outlineLevel="0" collapsed="false">
      <c r="A20" s="9"/>
      <c r="B20" s="9"/>
      <c r="C20" s="9"/>
      <c r="D20" s="10" t="str">
        <f aca="false">IF(A20="","",IF(SUMPRODUCT(--EXACT('2 Assets'!$A$2:$A$201,A20))=0,"'From' is not an asset",IF(SUMPRODUCT(--EXACT('2 Assets'!$A$2:$A$201,C20))=0,"'To' is not an asset",IF(SUMPRODUCT(--EXACT('1 Relationship types'!$A$2:$A$201,B20))=0,"Relationship is not defined",IF(A20=C20,"An asset cannot relate to itself",IF(SUMPRODUCT(--EXACT($A$2:$A$201,A20),--EXACT($B$2:$B$201,B20),--EXACT($C$2:$C$201,C20))&gt;1,"Listed twice","ok"))))))</f>
        <v/>
      </c>
    </row>
    <row r="21" customFormat="false" ht="15" hidden="false" customHeight="false" outlineLevel="0" collapsed="false">
      <c r="A21" s="9"/>
      <c r="B21" s="9"/>
      <c r="C21" s="9"/>
      <c r="D21" s="10" t="str">
        <f aca="false">IF(A21="","",IF(SUMPRODUCT(--EXACT('2 Assets'!$A$2:$A$201,A21))=0,"'From' is not an asset",IF(SUMPRODUCT(--EXACT('2 Assets'!$A$2:$A$201,C21))=0,"'To' is not an asset",IF(SUMPRODUCT(--EXACT('1 Relationship types'!$A$2:$A$201,B21))=0,"Relationship is not defined",IF(A21=C21,"An asset cannot relate to itself",IF(SUMPRODUCT(--EXACT($A$2:$A$201,A21),--EXACT($B$2:$B$201,B21),--EXACT($C$2:$C$201,C21))&gt;1,"Listed twice","ok"))))))</f>
        <v/>
      </c>
    </row>
    <row r="22" customFormat="false" ht="15" hidden="false" customHeight="false" outlineLevel="0" collapsed="false">
      <c r="A22" s="9"/>
      <c r="B22" s="9"/>
      <c r="C22" s="9"/>
      <c r="D22" s="10" t="str">
        <f aca="false">IF(A22="","",IF(SUMPRODUCT(--EXACT('2 Assets'!$A$2:$A$201,A22))=0,"'From' is not an asset",IF(SUMPRODUCT(--EXACT('2 Assets'!$A$2:$A$201,C22))=0,"'To' is not an asset",IF(SUMPRODUCT(--EXACT('1 Relationship types'!$A$2:$A$201,B22))=0,"Relationship is not defined",IF(A22=C22,"An asset cannot relate to itself",IF(SUMPRODUCT(--EXACT($A$2:$A$201,A22),--EXACT($B$2:$B$201,B22),--EXACT($C$2:$C$201,C22))&gt;1,"Listed twice","ok"))))))</f>
        <v/>
      </c>
    </row>
    <row r="23" customFormat="false" ht="15" hidden="false" customHeight="false" outlineLevel="0" collapsed="false">
      <c r="A23" s="9"/>
      <c r="B23" s="9"/>
      <c r="C23" s="9"/>
      <c r="D23" s="10" t="str">
        <f aca="false">IF(A23="","",IF(SUMPRODUCT(--EXACT('2 Assets'!$A$2:$A$201,A23))=0,"'From' is not an asset",IF(SUMPRODUCT(--EXACT('2 Assets'!$A$2:$A$201,C23))=0,"'To' is not an asset",IF(SUMPRODUCT(--EXACT('1 Relationship types'!$A$2:$A$201,B23))=0,"Relationship is not defined",IF(A23=C23,"An asset cannot relate to itself",IF(SUMPRODUCT(--EXACT($A$2:$A$201,A23),--EXACT($B$2:$B$201,B23),--EXACT($C$2:$C$201,C23))&gt;1,"Listed twice","ok"))))))</f>
        <v/>
      </c>
    </row>
    <row r="24" customFormat="false" ht="15" hidden="false" customHeight="false" outlineLevel="0" collapsed="false">
      <c r="A24" s="9"/>
      <c r="B24" s="9"/>
      <c r="C24" s="9"/>
      <c r="D24" s="10" t="str">
        <f aca="false">IF(A24="","",IF(SUMPRODUCT(--EXACT('2 Assets'!$A$2:$A$201,A24))=0,"'From' is not an asset",IF(SUMPRODUCT(--EXACT('2 Assets'!$A$2:$A$201,C24))=0,"'To' is not an asset",IF(SUMPRODUCT(--EXACT('1 Relationship types'!$A$2:$A$201,B24))=0,"Relationship is not defined",IF(A24=C24,"An asset cannot relate to itself",IF(SUMPRODUCT(--EXACT($A$2:$A$201,A24),--EXACT($B$2:$B$201,B24),--EXACT($C$2:$C$201,C24))&gt;1,"Listed twice","ok"))))))</f>
        <v/>
      </c>
    </row>
    <row r="25" customFormat="false" ht="15" hidden="false" customHeight="false" outlineLevel="0" collapsed="false">
      <c r="A25" s="9"/>
      <c r="B25" s="9"/>
      <c r="C25" s="9"/>
      <c r="D25" s="10" t="str">
        <f aca="false">IF(A25="","",IF(SUMPRODUCT(--EXACT('2 Assets'!$A$2:$A$201,A25))=0,"'From' is not an asset",IF(SUMPRODUCT(--EXACT('2 Assets'!$A$2:$A$201,C25))=0,"'To' is not an asset",IF(SUMPRODUCT(--EXACT('1 Relationship types'!$A$2:$A$201,B25))=0,"Relationship is not defined",IF(A25=C25,"An asset cannot relate to itself",IF(SUMPRODUCT(--EXACT($A$2:$A$201,A25),--EXACT($B$2:$B$201,B25),--EXACT($C$2:$C$201,C25))&gt;1,"Listed twice","ok"))))))</f>
        <v/>
      </c>
    </row>
    <row r="26" customFormat="false" ht="15" hidden="false" customHeight="false" outlineLevel="0" collapsed="false">
      <c r="A26" s="9"/>
      <c r="B26" s="9"/>
      <c r="C26" s="9"/>
      <c r="D26" s="10" t="str">
        <f aca="false">IF(A26="","",IF(SUMPRODUCT(--EXACT('2 Assets'!$A$2:$A$201,A26))=0,"'From' is not an asset",IF(SUMPRODUCT(--EXACT('2 Assets'!$A$2:$A$201,C26))=0,"'To' is not an asset",IF(SUMPRODUCT(--EXACT('1 Relationship types'!$A$2:$A$201,B26))=0,"Relationship is not defined",IF(A26=C26,"An asset cannot relate to itself",IF(SUMPRODUCT(--EXACT($A$2:$A$201,A26),--EXACT($B$2:$B$201,B26),--EXACT($C$2:$C$201,C26))&gt;1,"Listed twice","ok"))))))</f>
        <v/>
      </c>
    </row>
    <row r="27" customFormat="false" ht="15" hidden="false" customHeight="false" outlineLevel="0" collapsed="false">
      <c r="A27" s="9"/>
      <c r="B27" s="9"/>
      <c r="C27" s="9"/>
      <c r="D27" s="10" t="str">
        <f aca="false">IF(A27="","",IF(SUMPRODUCT(--EXACT('2 Assets'!$A$2:$A$201,A27))=0,"'From' is not an asset",IF(SUMPRODUCT(--EXACT('2 Assets'!$A$2:$A$201,C27))=0,"'To' is not an asset",IF(SUMPRODUCT(--EXACT('1 Relationship types'!$A$2:$A$201,B27))=0,"Relationship is not defined",IF(A27=C27,"An asset cannot relate to itself",IF(SUMPRODUCT(--EXACT($A$2:$A$201,A27),--EXACT($B$2:$B$201,B27),--EXACT($C$2:$C$201,C27))&gt;1,"Listed twice","ok"))))))</f>
        <v/>
      </c>
    </row>
    <row r="28" customFormat="false" ht="15" hidden="false" customHeight="false" outlineLevel="0" collapsed="false">
      <c r="A28" s="9"/>
      <c r="B28" s="9"/>
      <c r="C28" s="9"/>
      <c r="D28" s="10" t="str">
        <f aca="false">IF(A28="","",IF(SUMPRODUCT(--EXACT('2 Assets'!$A$2:$A$201,A28))=0,"'From' is not an asset",IF(SUMPRODUCT(--EXACT('2 Assets'!$A$2:$A$201,C28))=0,"'To' is not an asset",IF(SUMPRODUCT(--EXACT('1 Relationship types'!$A$2:$A$201,B28))=0,"Relationship is not defined",IF(A28=C28,"An asset cannot relate to itself",IF(SUMPRODUCT(--EXACT($A$2:$A$201,A28),--EXACT($B$2:$B$201,B28),--EXACT($C$2:$C$201,C28))&gt;1,"Listed twice","ok"))))))</f>
        <v/>
      </c>
    </row>
    <row r="29" customFormat="false" ht="15" hidden="false" customHeight="false" outlineLevel="0" collapsed="false">
      <c r="A29" s="9"/>
      <c r="B29" s="9"/>
      <c r="C29" s="9"/>
      <c r="D29" s="10" t="str">
        <f aca="false">IF(A29="","",IF(SUMPRODUCT(--EXACT('2 Assets'!$A$2:$A$201,A29))=0,"'From' is not an asset",IF(SUMPRODUCT(--EXACT('2 Assets'!$A$2:$A$201,C29))=0,"'To' is not an asset",IF(SUMPRODUCT(--EXACT('1 Relationship types'!$A$2:$A$201,B29))=0,"Relationship is not defined",IF(A29=C29,"An asset cannot relate to itself",IF(SUMPRODUCT(--EXACT($A$2:$A$201,A29),--EXACT($B$2:$B$201,B29),--EXACT($C$2:$C$201,C29))&gt;1,"Listed twice","ok"))))))</f>
        <v/>
      </c>
    </row>
    <row r="30" customFormat="false" ht="15" hidden="false" customHeight="false" outlineLevel="0" collapsed="false">
      <c r="A30" s="9"/>
      <c r="B30" s="9"/>
      <c r="C30" s="9"/>
      <c r="D30" s="10" t="str">
        <f aca="false">IF(A30="","",IF(SUMPRODUCT(--EXACT('2 Assets'!$A$2:$A$201,A30))=0,"'From' is not an asset",IF(SUMPRODUCT(--EXACT('2 Assets'!$A$2:$A$201,C30))=0,"'To' is not an asset",IF(SUMPRODUCT(--EXACT('1 Relationship types'!$A$2:$A$201,B30))=0,"Relationship is not defined",IF(A30=C30,"An asset cannot relate to itself",IF(SUMPRODUCT(--EXACT($A$2:$A$201,A30),--EXACT($B$2:$B$201,B30),--EXACT($C$2:$C$201,C30))&gt;1,"Listed twice","ok"))))))</f>
        <v/>
      </c>
    </row>
    <row r="31" customFormat="false" ht="15" hidden="false" customHeight="false" outlineLevel="0" collapsed="false">
      <c r="A31" s="9"/>
      <c r="B31" s="9"/>
      <c r="C31" s="9"/>
      <c r="D31" s="10" t="str">
        <f aca="false">IF(A31="","",IF(SUMPRODUCT(--EXACT('2 Assets'!$A$2:$A$201,A31))=0,"'From' is not an asset",IF(SUMPRODUCT(--EXACT('2 Assets'!$A$2:$A$201,C31))=0,"'To' is not an asset",IF(SUMPRODUCT(--EXACT('1 Relationship types'!$A$2:$A$201,B31))=0,"Relationship is not defined",IF(A31=C31,"An asset cannot relate to itself",IF(SUMPRODUCT(--EXACT($A$2:$A$201,A31),--EXACT($B$2:$B$201,B31),--EXACT($C$2:$C$201,C31))&gt;1,"Listed twice","ok"))))))</f>
        <v/>
      </c>
    </row>
    <row r="32" customFormat="false" ht="15" hidden="false" customHeight="false" outlineLevel="0" collapsed="false">
      <c r="A32" s="9"/>
      <c r="B32" s="9"/>
      <c r="C32" s="9"/>
      <c r="D32" s="10" t="str">
        <f aca="false">IF(A32="","",IF(SUMPRODUCT(--EXACT('2 Assets'!$A$2:$A$201,A32))=0,"'From' is not an asset",IF(SUMPRODUCT(--EXACT('2 Assets'!$A$2:$A$201,C32))=0,"'To' is not an asset",IF(SUMPRODUCT(--EXACT('1 Relationship types'!$A$2:$A$201,B32))=0,"Relationship is not defined",IF(A32=C32,"An asset cannot relate to itself",IF(SUMPRODUCT(--EXACT($A$2:$A$201,A32),--EXACT($B$2:$B$201,B32),--EXACT($C$2:$C$201,C32))&gt;1,"Listed twice","ok"))))))</f>
        <v/>
      </c>
    </row>
    <row r="33" customFormat="false" ht="15" hidden="false" customHeight="false" outlineLevel="0" collapsed="false">
      <c r="A33" s="9"/>
      <c r="B33" s="9"/>
      <c r="C33" s="9"/>
      <c r="D33" s="10" t="str">
        <f aca="false">IF(A33="","",IF(SUMPRODUCT(--EXACT('2 Assets'!$A$2:$A$201,A33))=0,"'From' is not an asset",IF(SUMPRODUCT(--EXACT('2 Assets'!$A$2:$A$201,C33))=0,"'To' is not an asset",IF(SUMPRODUCT(--EXACT('1 Relationship types'!$A$2:$A$201,B33))=0,"Relationship is not defined",IF(A33=C33,"An asset cannot relate to itself",IF(SUMPRODUCT(--EXACT($A$2:$A$201,A33),--EXACT($B$2:$B$201,B33),--EXACT($C$2:$C$201,C33))&gt;1,"Listed twice","ok"))))))</f>
        <v/>
      </c>
    </row>
    <row r="34" customFormat="false" ht="15" hidden="false" customHeight="false" outlineLevel="0" collapsed="false">
      <c r="A34" s="9"/>
      <c r="B34" s="9"/>
      <c r="C34" s="9"/>
      <c r="D34" s="10" t="str">
        <f aca="false">IF(A34="","",IF(SUMPRODUCT(--EXACT('2 Assets'!$A$2:$A$201,A34))=0,"'From' is not an asset",IF(SUMPRODUCT(--EXACT('2 Assets'!$A$2:$A$201,C34))=0,"'To' is not an asset",IF(SUMPRODUCT(--EXACT('1 Relationship types'!$A$2:$A$201,B34))=0,"Relationship is not defined",IF(A34=C34,"An asset cannot relate to itself",IF(SUMPRODUCT(--EXACT($A$2:$A$201,A34),--EXACT($B$2:$B$201,B34),--EXACT($C$2:$C$201,C34))&gt;1,"Listed twice","ok"))))))</f>
        <v/>
      </c>
    </row>
    <row r="35" customFormat="false" ht="15" hidden="false" customHeight="false" outlineLevel="0" collapsed="false">
      <c r="A35" s="9"/>
      <c r="B35" s="9"/>
      <c r="C35" s="9"/>
      <c r="D35" s="10" t="str">
        <f aca="false">IF(A35="","",IF(SUMPRODUCT(--EXACT('2 Assets'!$A$2:$A$201,A35))=0,"'From' is not an asset",IF(SUMPRODUCT(--EXACT('2 Assets'!$A$2:$A$201,C35))=0,"'To' is not an asset",IF(SUMPRODUCT(--EXACT('1 Relationship types'!$A$2:$A$201,B35))=0,"Relationship is not defined",IF(A35=C35,"An asset cannot relate to itself",IF(SUMPRODUCT(--EXACT($A$2:$A$201,A35),--EXACT($B$2:$B$201,B35),--EXACT($C$2:$C$201,C35))&gt;1,"Listed twice","ok"))))))</f>
        <v/>
      </c>
    </row>
    <row r="36" customFormat="false" ht="15" hidden="false" customHeight="false" outlineLevel="0" collapsed="false">
      <c r="A36" s="9"/>
      <c r="B36" s="9"/>
      <c r="C36" s="9"/>
      <c r="D36" s="10" t="str">
        <f aca="false">IF(A36="","",IF(SUMPRODUCT(--EXACT('2 Assets'!$A$2:$A$201,A36))=0,"'From' is not an asset",IF(SUMPRODUCT(--EXACT('2 Assets'!$A$2:$A$201,C36))=0,"'To' is not an asset",IF(SUMPRODUCT(--EXACT('1 Relationship types'!$A$2:$A$201,B36))=0,"Relationship is not defined",IF(A36=C36,"An asset cannot relate to itself",IF(SUMPRODUCT(--EXACT($A$2:$A$201,A36),--EXACT($B$2:$B$201,B36),--EXACT($C$2:$C$201,C36))&gt;1,"Listed twice","ok"))))))</f>
        <v/>
      </c>
    </row>
    <row r="37" customFormat="false" ht="15" hidden="false" customHeight="false" outlineLevel="0" collapsed="false">
      <c r="A37" s="9"/>
      <c r="B37" s="9"/>
      <c r="C37" s="9"/>
      <c r="D37" s="10" t="str">
        <f aca="false">IF(A37="","",IF(SUMPRODUCT(--EXACT('2 Assets'!$A$2:$A$201,A37))=0,"'From' is not an asset",IF(SUMPRODUCT(--EXACT('2 Assets'!$A$2:$A$201,C37))=0,"'To' is not an asset",IF(SUMPRODUCT(--EXACT('1 Relationship types'!$A$2:$A$201,B37))=0,"Relationship is not defined",IF(A37=C37,"An asset cannot relate to itself",IF(SUMPRODUCT(--EXACT($A$2:$A$201,A37),--EXACT($B$2:$B$201,B37),--EXACT($C$2:$C$201,C37))&gt;1,"Listed twice","ok"))))))</f>
        <v/>
      </c>
    </row>
    <row r="38" customFormat="false" ht="15" hidden="false" customHeight="false" outlineLevel="0" collapsed="false">
      <c r="A38" s="9"/>
      <c r="B38" s="9"/>
      <c r="C38" s="9"/>
      <c r="D38" s="10" t="str">
        <f aca="false">IF(A38="","",IF(SUMPRODUCT(--EXACT('2 Assets'!$A$2:$A$201,A38))=0,"'From' is not an asset",IF(SUMPRODUCT(--EXACT('2 Assets'!$A$2:$A$201,C38))=0,"'To' is not an asset",IF(SUMPRODUCT(--EXACT('1 Relationship types'!$A$2:$A$201,B38))=0,"Relationship is not defined",IF(A38=C38,"An asset cannot relate to itself",IF(SUMPRODUCT(--EXACT($A$2:$A$201,A38),--EXACT($B$2:$B$201,B38),--EXACT($C$2:$C$201,C38))&gt;1,"Listed twice","ok"))))))</f>
        <v/>
      </c>
    </row>
    <row r="39" customFormat="false" ht="15" hidden="false" customHeight="false" outlineLevel="0" collapsed="false">
      <c r="A39" s="9"/>
      <c r="B39" s="9"/>
      <c r="C39" s="9"/>
      <c r="D39" s="10" t="str">
        <f aca="false">IF(A39="","",IF(SUMPRODUCT(--EXACT('2 Assets'!$A$2:$A$201,A39))=0,"'From' is not an asset",IF(SUMPRODUCT(--EXACT('2 Assets'!$A$2:$A$201,C39))=0,"'To' is not an asset",IF(SUMPRODUCT(--EXACT('1 Relationship types'!$A$2:$A$201,B39))=0,"Relationship is not defined",IF(A39=C39,"An asset cannot relate to itself",IF(SUMPRODUCT(--EXACT($A$2:$A$201,A39),--EXACT($B$2:$B$201,B39),--EXACT($C$2:$C$201,C39))&gt;1,"Listed twice","ok"))))))</f>
        <v/>
      </c>
    </row>
    <row r="40" customFormat="false" ht="15" hidden="false" customHeight="false" outlineLevel="0" collapsed="false">
      <c r="A40" s="9"/>
      <c r="B40" s="9"/>
      <c r="C40" s="9"/>
      <c r="D40" s="10" t="str">
        <f aca="false">IF(A40="","",IF(SUMPRODUCT(--EXACT('2 Assets'!$A$2:$A$201,A40))=0,"'From' is not an asset",IF(SUMPRODUCT(--EXACT('2 Assets'!$A$2:$A$201,C40))=0,"'To' is not an asset",IF(SUMPRODUCT(--EXACT('1 Relationship types'!$A$2:$A$201,B40))=0,"Relationship is not defined",IF(A40=C40,"An asset cannot relate to itself",IF(SUMPRODUCT(--EXACT($A$2:$A$201,A40),--EXACT($B$2:$B$201,B40),--EXACT($C$2:$C$201,C40))&gt;1,"Listed twice","ok"))))))</f>
        <v/>
      </c>
    </row>
    <row r="41" customFormat="false" ht="15" hidden="false" customHeight="false" outlineLevel="0" collapsed="false">
      <c r="A41" s="9"/>
      <c r="B41" s="9"/>
      <c r="C41" s="9"/>
      <c r="D41" s="10" t="str">
        <f aca="false">IF(A41="","",IF(SUMPRODUCT(--EXACT('2 Assets'!$A$2:$A$201,A41))=0,"'From' is not an asset",IF(SUMPRODUCT(--EXACT('2 Assets'!$A$2:$A$201,C41))=0,"'To' is not an asset",IF(SUMPRODUCT(--EXACT('1 Relationship types'!$A$2:$A$201,B41))=0,"Relationship is not defined",IF(A41=C41,"An asset cannot relate to itself",IF(SUMPRODUCT(--EXACT($A$2:$A$201,A41),--EXACT($B$2:$B$201,B41),--EXACT($C$2:$C$201,C41))&gt;1,"Listed twice","ok"))))))</f>
        <v/>
      </c>
    </row>
    <row r="42" customFormat="false" ht="15" hidden="false" customHeight="false" outlineLevel="0" collapsed="false">
      <c r="A42" s="9"/>
      <c r="B42" s="9"/>
      <c r="C42" s="9"/>
      <c r="D42" s="10" t="str">
        <f aca="false">IF(A42="","",IF(SUMPRODUCT(--EXACT('2 Assets'!$A$2:$A$201,A42))=0,"'From' is not an asset",IF(SUMPRODUCT(--EXACT('2 Assets'!$A$2:$A$201,C42))=0,"'To' is not an asset",IF(SUMPRODUCT(--EXACT('1 Relationship types'!$A$2:$A$201,B42))=0,"Relationship is not defined",IF(A42=C42,"An asset cannot relate to itself",IF(SUMPRODUCT(--EXACT($A$2:$A$201,A42),--EXACT($B$2:$B$201,B42),--EXACT($C$2:$C$201,C42))&gt;1,"Listed twice","ok"))))))</f>
        <v/>
      </c>
    </row>
    <row r="43" customFormat="false" ht="15" hidden="false" customHeight="false" outlineLevel="0" collapsed="false">
      <c r="A43" s="9"/>
      <c r="B43" s="9"/>
      <c r="C43" s="9"/>
      <c r="D43" s="10" t="str">
        <f aca="false">IF(A43="","",IF(SUMPRODUCT(--EXACT('2 Assets'!$A$2:$A$201,A43))=0,"'From' is not an asset",IF(SUMPRODUCT(--EXACT('2 Assets'!$A$2:$A$201,C43))=0,"'To' is not an asset",IF(SUMPRODUCT(--EXACT('1 Relationship types'!$A$2:$A$201,B43))=0,"Relationship is not defined",IF(A43=C43,"An asset cannot relate to itself",IF(SUMPRODUCT(--EXACT($A$2:$A$201,A43),--EXACT($B$2:$B$201,B43),--EXACT($C$2:$C$201,C43))&gt;1,"Listed twice","ok"))))))</f>
        <v/>
      </c>
    </row>
    <row r="44" customFormat="false" ht="15" hidden="false" customHeight="false" outlineLevel="0" collapsed="false">
      <c r="A44" s="9"/>
      <c r="B44" s="9"/>
      <c r="C44" s="9"/>
      <c r="D44" s="10" t="str">
        <f aca="false">IF(A44="","",IF(SUMPRODUCT(--EXACT('2 Assets'!$A$2:$A$201,A44))=0,"'From' is not an asset",IF(SUMPRODUCT(--EXACT('2 Assets'!$A$2:$A$201,C44))=0,"'To' is not an asset",IF(SUMPRODUCT(--EXACT('1 Relationship types'!$A$2:$A$201,B44))=0,"Relationship is not defined",IF(A44=C44,"An asset cannot relate to itself",IF(SUMPRODUCT(--EXACT($A$2:$A$201,A44),--EXACT($B$2:$B$201,B44),--EXACT($C$2:$C$201,C44))&gt;1,"Listed twice","ok"))))))</f>
        <v/>
      </c>
    </row>
    <row r="45" customFormat="false" ht="15" hidden="false" customHeight="false" outlineLevel="0" collapsed="false">
      <c r="A45" s="9"/>
      <c r="B45" s="9"/>
      <c r="C45" s="9"/>
      <c r="D45" s="10" t="str">
        <f aca="false">IF(A45="","",IF(SUMPRODUCT(--EXACT('2 Assets'!$A$2:$A$201,A45))=0,"'From' is not an asset",IF(SUMPRODUCT(--EXACT('2 Assets'!$A$2:$A$201,C45))=0,"'To' is not an asset",IF(SUMPRODUCT(--EXACT('1 Relationship types'!$A$2:$A$201,B45))=0,"Relationship is not defined",IF(A45=C45,"An asset cannot relate to itself",IF(SUMPRODUCT(--EXACT($A$2:$A$201,A45),--EXACT($B$2:$B$201,B45),--EXACT($C$2:$C$201,C45))&gt;1,"Listed twice","ok"))))))</f>
        <v/>
      </c>
    </row>
    <row r="46" customFormat="false" ht="15" hidden="false" customHeight="false" outlineLevel="0" collapsed="false">
      <c r="A46" s="9"/>
      <c r="B46" s="9"/>
      <c r="C46" s="9"/>
      <c r="D46" s="10" t="str">
        <f aca="false">IF(A46="","",IF(SUMPRODUCT(--EXACT('2 Assets'!$A$2:$A$201,A46))=0,"'From' is not an asset",IF(SUMPRODUCT(--EXACT('2 Assets'!$A$2:$A$201,C46))=0,"'To' is not an asset",IF(SUMPRODUCT(--EXACT('1 Relationship types'!$A$2:$A$201,B46))=0,"Relationship is not defined",IF(A46=C46,"An asset cannot relate to itself",IF(SUMPRODUCT(--EXACT($A$2:$A$201,A46),--EXACT($B$2:$B$201,B46),--EXACT($C$2:$C$201,C46))&gt;1,"Listed twice","ok"))))))</f>
        <v/>
      </c>
    </row>
    <row r="47" customFormat="false" ht="15" hidden="false" customHeight="false" outlineLevel="0" collapsed="false">
      <c r="A47" s="9"/>
      <c r="B47" s="9"/>
      <c r="C47" s="9"/>
      <c r="D47" s="10" t="str">
        <f aca="false">IF(A47="","",IF(SUMPRODUCT(--EXACT('2 Assets'!$A$2:$A$201,A47))=0,"'From' is not an asset",IF(SUMPRODUCT(--EXACT('2 Assets'!$A$2:$A$201,C47))=0,"'To' is not an asset",IF(SUMPRODUCT(--EXACT('1 Relationship types'!$A$2:$A$201,B47))=0,"Relationship is not defined",IF(A47=C47,"An asset cannot relate to itself",IF(SUMPRODUCT(--EXACT($A$2:$A$201,A47),--EXACT($B$2:$B$201,B47),--EXACT($C$2:$C$201,C47))&gt;1,"Listed twice","ok"))))))</f>
        <v/>
      </c>
    </row>
    <row r="48" customFormat="false" ht="15" hidden="false" customHeight="false" outlineLevel="0" collapsed="false">
      <c r="A48" s="9"/>
      <c r="B48" s="9"/>
      <c r="C48" s="9"/>
      <c r="D48" s="10" t="str">
        <f aca="false">IF(A48="","",IF(SUMPRODUCT(--EXACT('2 Assets'!$A$2:$A$201,A48))=0,"'From' is not an asset",IF(SUMPRODUCT(--EXACT('2 Assets'!$A$2:$A$201,C48))=0,"'To' is not an asset",IF(SUMPRODUCT(--EXACT('1 Relationship types'!$A$2:$A$201,B48))=0,"Relationship is not defined",IF(A48=C48,"An asset cannot relate to itself",IF(SUMPRODUCT(--EXACT($A$2:$A$201,A48),--EXACT($B$2:$B$201,B48),--EXACT($C$2:$C$201,C48))&gt;1,"Listed twice","ok"))))))</f>
        <v/>
      </c>
    </row>
    <row r="49" customFormat="false" ht="15" hidden="false" customHeight="false" outlineLevel="0" collapsed="false">
      <c r="A49" s="9"/>
      <c r="B49" s="9"/>
      <c r="C49" s="9"/>
      <c r="D49" s="10" t="str">
        <f aca="false">IF(A49="","",IF(SUMPRODUCT(--EXACT('2 Assets'!$A$2:$A$201,A49))=0,"'From' is not an asset",IF(SUMPRODUCT(--EXACT('2 Assets'!$A$2:$A$201,C49))=0,"'To' is not an asset",IF(SUMPRODUCT(--EXACT('1 Relationship types'!$A$2:$A$201,B49))=0,"Relationship is not defined",IF(A49=C49,"An asset cannot relate to itself",IF(SUMPRODUCT(--EXACT($A$2:$A$201,A49),--EXACT($B$2:$B$201,B49),--EXACT($C$2:$C$201,C49))&gt;1,"Listed twice","ok"))))))</f>
        <v/>
      </c>
    </row>
    <row r="50" customFormat="false" ht="15" hidden="false" customHeight="false" outlineLevel="0" collapsed="false">
      <c r="A50" s="9"/>
      <c r="B50" s="9"/>
      <c r="C50" s="9"/>
      <c r="D50" s="10" t="str">
        <f aca="false">IF(A50="","",IF(SUMPRODUCT(--EXACT('2 Assets'!$A$2:$A$201,A50))=0,"'From' is not an asset",IF(SUMPRODUCT(--EXACT('2 Assets'!$A$2:$A$201,C50))=0,"'To' is not an asset",IF(SUMPRODUCT(--EXACT('1 Relationship types'!$A$2:$A$201,B50))=0,"Relationship is not defined",IF(A50=C50,"An asset cannot relate to itself",IF(SUMPRODUCT(--EXACT($A$2:$A$201,A50),--EXACT($B$2:$B$201,B50),--EXACT($C$2:$C$201,C50))&gt;1,"Listed twice","ok"))))))</f>
        <v/>
      </c>
    </row>
    <row r="51" customFormat="false" ht="15" hidden="false" customHeight="false" outlineLevel="0" collapsed="false">
      <c r="A51" s="9"/>
      <c r="B51" s="9"/>
      <c r="C51" s="9"/>
      <c r="D51" s="10" t="str">
        <f aca="false">IF(A51="","",IF(SUMPRODUCT(--EXACT('2 Assets'!$A$2:$A$201,A51))=0,"'From' is not an asset",IF(SUMPRODUCT(--EXACT('2 Assets'!$A$2:$A$201,C51))=0,"'To' is not an asset",IF(SUMPRODUCT(--EXACT('1 Relationship types'!$A$2:$A$201,B51))=0,"Relationship is not defined",IF(A51=C51,"An asset cannot relate to itself",IF(SUMPRODUCT(--EXACT($A$2:$A$201,A51),--EXACT($B$2:$B$201,B51),--EXACT($C$2:$C$201,C51))&gt;1,"Listed twice","ok"))))))</f>
        <v/>
      </c>
    </row>
    <row r="52" customFormat="false" ht="15" hidden="false" customHeight="false" outlineLevel="0" collapsed="false">
      <c r="A52" s="9"/>
      <c r="B52" s="9"/>
      <c r="C52" s="9"/>
      <c r="D52" s="10" t="str">
        <f aca="false">IF(A52="","",IF(SUMPRODUCT(--EXACT('2 Assets'!$A$2:$A$201,A52))=0,"'From' is not an asset",IF(SUMPRODUCT(--EXACT('2 Assets'!$A$2:$A$201,C52))=0,"'To' is not an asset",IF(SUMPRODUCT(--EXACT('1 Relationship types'!$A$2:$A$201,B52))=0,"Relationship is not defined",IF(A52=C52,"An asset cannot relate to itself",IF(SUMPRODUCT(--EXACT($A$2:$A$201,A52),--EXACT($B$2:$B$201,B52),--EXACT($C$2:$C$201,C52))&gt;1,"Listed twice","ok"))))))</f>
        <v/>
      </c>
    </row>
    <row r="53" customFormat="false" ht="15" hidden="false" customHeight="false" outlineLevel="0" collapsed="false">
      <c r="A53" s="9"/>
      <c r="B53" s="9"/>
      <c r="C53" s="9"/>
      <c r="D53" s="10" t="str">
        <f aca="false">IF(A53="","",IF(SUMPRODUCT(--EXACT('2 Assets'!$A$2:$A$201,A53))=0,"'From' is not an asset",IF(SUMPRODUCT(--EXACT('2 Assets'!$A$2:$A$201,C53))=0,"'To' is not an asset",IF(SUMPRODUCT(--EXACT('1 Relationship types'!$A$2:$A$201,B53))=0,"Relationship is not defined",IF(A53=C53,"An asset cannot relate to itself",IF(SUMPRODUCT(--EXACT($A$2:$A$201,A53),--EXACT($B$2:$B$201,B53),--EXACT($C$2:$C$201,C53))&gt;1,"Listed twice","ok"))))))</f>
        <v/>
      </c>
    </row>
    <row r="54" customFormat="false" ht="15" hidden="false" customHeight="false" outlineLevel="0" collapsed="false">
      <c r="A54" s="9"/>
      <c r="B54" s="9"/>
      <c r="C54" s="9"/>
      <c r="D54" s="10" t="str">
        <f aca="false">IF(A54="","",IF(SUMPRODUCT(--EXACT('2 Assets'!$A$2:$A$201,A54))=0,"'From' is not an asset",IF(SUMPRODUCT(--EXACT('2 Assets'!$A$2:$A$201,C54))=0,"'To' is not an asset",IF(SUMPRODUCT(--EXACT('1 Relationship types'!$A$2:$A$201,B54))=0,"Relationship is not defined",IF(A54=C54,"An asset cannot relate to itself",IF(SUMPRODUCT(--EXACT($A$2:$A$201,A54),--EXACT($B$2:$B$201,B54),--EXACT($C$2:$C$201,C54))&gt;1,"Listed twice","ok"))))))</f>
        <v/>
      </c>
    </row>
    <row r="55" customFormat="false" ht="15" hidden="false" customHeight="false" outlineLevel="0" collapsed="false">
      <c r="A55" s="9"/>
      <c r="B55" s="9"/>
      <c r="C55" s="9"/>
      <c r="D55" s="10" t="str">
        <f aca="false">IF(A55="","",IF(SUMPRODUCT(--EXACT('2 Assets'!$A$2:$A$201,A55))=0,"'From' is not an asset",IF(SUMPRODUCT(--EXACT('2 Assets'!$A$2:$A$201,C55))=0,"'To' is not an asset",IF(SUMPRODUCT(--EXACT('1 Relationship types'!$A$2:$A$201,B55))=0,"Relationship is not defined",IF(A55=C55,"An asset cannot relate to itself",IF(SUMPRODUCT(--EXACT($A$2:$A$201,A55),--EXACT($B$2:$B$201,B55),--EXACT($C$2:$C$201,C55))&gt;1,"Listed twice","ok"))))))</f>
        <v/>
      </c>
    </row>
    <row r="56" customFormat="false" ht="15" hidden="false" customHeight="false" outlineLevel="0" collapsed="false">
      <c r="A56" s="9"/>
      <c r="B56" s="9"/>
      <c r="C56" s="9"/>
      <c r="D56" s="10" t="str">
        <f aca="false">IF(A56="","",IF(SUMPRODUCT(--EXACT('2 Assets'!$A$2:$A$201,A56))=0,"'From' is not an asset",IF(SUMPRODUCT(--EXACT('2 Assets'!$A$2:$A$201,C56))=0,"'To' is not an asset",IF(SUMPRODUCT(--EXACT('1 Relationship types'!$A$2:$A$201,B56))=0,"Relationship is not defined",IF(A56=C56,"An asset cannot relate to itself",IF(SUMPRODUCT(--EXACT($A$2:$A$201,A56),--EXACT($B$2:$B$201,B56),--EXACT($C$2:$C$201,C56))&gt;1,"Listed twice","ok"))))))</f>
        <v/>
      </c>
    </row>
    <row r="57" customFormat="false" ht="15" hidden="false" customHeight="false" outlineLevel="0" collapsed="false">
      <c r="A57" s="9"/>
      <c r="B57" s="9"/>
      <c r="C57" s="9"/>
      <c r="D57" s="10" t="str">
        <f aca="false">IF(A57="","",IF(SUMPRODUCT(--EXACT('2 Assets'!$A$2:$A$201,A57))=0,"'From' is not an asset",IF(SUMPRODUCT(--EXACT('2 Assets'!$A$2:$A$201,C57))=0,"'To' is not an asset",IF(SUMPRODUCT(--EXACT('1 Relationship types'!$A$2:$A$201,B57))=0,"Relationship is not defined",IF(A57=C57,"An asset cannot relate to itself",IF(SUMPRODUCT(--EXACT($A$2:$A$201,A57),--EXACT($B$2:$B$201,B57),--EXACT($C$2:$C$201,C57))&gt;1,"Listed twice","ok"))))))</f>
        <v/>
      </c>
    </row>
    <row r="58" customFormat="false" ht="15" hidden="false" customHeight="false" outlineLevel="0" collapsed="false">
      <c r="A58" s="9"/>
      <c r="B58" s="9"/>
      <c r="C58" s="9"/>
      <c r="D58" s="10" t="str">
        <f aca="false">IF(A58="","",IF(SUMPRODUCT(--EXACT('2 Assets'!$A$2:$A$201,A58))=0,"'From' is not an asset",IF(SUMPRODUCT(--EXACT('2 Assets'!$A$2:$A$201,C58))=0,"'To' is not an asset",IF(SUMPRODUCT(--EXACT('1 Relationship types'!$A$2:$A$201,B58))=0,"Relationship is not defined",IF(A58=C58,"An asset cannot relate to itself",IF(SUMPRODUCT(--EXACT($A$2:$A$201,A58),--EXACT($B$2:$B$201,B58),--EXACT($C$2:$C$201,C58))&gt;1,"Listed twice","ok"))))))</f>
        <v/>
      </c>
    </row>
    <row r="59" customFormat="false" ht="15" hidden="false" customHeight="false" outlineLevel="0" collapsed="false">
      <c r="A59" s="9"/>
      <c r="B59" s="9"/>
      <c r="C59" s="9"/>
      <c r="D59" s="10" t="str">
        <f aca="false">IF(A59="","",IF(SUMPRODUCT(--EXACT('2 Assets'!$A$2:$A$201,A59))=0,"'From' is not an asset",IF(SUMPRODUCT(--EXACT('2 Assets'!$A$2:$A$201,C59))=0,"'To' is not an asset",IF(SUMPRODUCT(--EXACT('1 Relationship types'!$A$2:$A$201,B59))=0,"Relationship is not defined",IF(A59=C59,"An asset cannot relate to itself",IF(SUMPRODUCT(--EXACT($A$2:$A$201,A59),--EXACT($B$2:$B$201,B59),--EXACT($C$2:$C$201,C59))&gt;1,"Listed twice","ok"))))))</f>
        <v/>
      </c>
    </row>
    <row r="60" customFormat="false" ht="15" hidden="false" customHeight="false" outlineLevel="0" collapsed="false">
      <c r="A60" s="9"/>
      <c r="B60" s="9"/>
      <c r="C60" s="9"/>
      <c r="D60" s="10" t="str">
        <f aca="false">IF(A60="","",IF(SUMPRODUCT(--EXACT('2 Assets'!$A$2:$A$201,A60))=0,"'From' is not an asset",IF(SUMPRODUCT(--EXACT('2 Assets'!$A$2:$A$201,C60))=0,"'To' is not an asset",IF(SUMPRODUCT(--EXACT('1 Relationship types'!$A$2:$A$201,B60))=0,"Relationship is not defined",IF(A60=C60,"An asset cannot relate to itself",IF(SUMPRODUCT(--EXACT($A$2:$A$201,A60),--EXACT($B$2:$B$201,B60),--EXACT($C$2:$C$201,C60))&gt;1,"Listed twice","ok"))))))</f>
        <v/>
      </c>
    </row>
    <row r="61" customFormat="false" ht="15" hidden="false" customHeight="false" outlineLevel="0" collapsed="false">
      <c r="A61" s="9"/>
      <c r="B61" s="9"/>
      <c r="C61" s="9"/>
      <c r="D61" s="10" t="str">
        <f aca="false">IF(A61="","",IF(SUMPRODUCT(--EXACT('2 Assets'!$A$2:$A$201,A61))=0,"'From' is not an asset",IF(SUMPRODUCT(--EXACT('2 Assets'!$A$2:$A$201,C61))=0,"'To' is not an asset",IF(SUMPRODUCT(--EXACT('1 Relationship types'!$A$2:$A$201,B61))=0,"Relationship is not defined",IF(A61=C61,"An asset cannot relate to itself",IF(SUMPRODUCT(--EXACT($A$2:$A$201,A61),--EXACT($B$2:$B$201,B61),--EXACT($C$2:$C$201,C61))&gt;1,"Listed twice","ok"))))))</f>
        <v/>
      </c>
    </row>
    <row r="62" customFormat="false" ht="15" hidden="false" customHeight="false" outlineLevel="0" collapsed="false">
      <c r="A62" s="9"/>
      <c r="B62" s="9"/>
      <c r="C62" s="9"/>
      <c r="D62" s="10" t="str">
        <f aca="false">IF(A62="","",IF(SUMPRODUCT(--EXACT('2 Assets'!$A$2:$A$201,A62))=0,"'From' is not an asset",IF(SUMPRODUCT(--EXACT('2 Assets'!$A$2:$A$201,C62))=0,"'To' is not an asset",IF(SUMPRODUCT(--EXACT('1 Relationship types'!$A$2:$A$201,B62))=0,"Relationship is not defined",IF(A62=C62,"An asset cannot relate to itself",IF(SUMPRODUCT(--EXACT($A$2:$A$201,A62),--EXACT($B$2:$B$201,B62),--EXACT($C$2:$C$201,C62))&gt;1,"Listed twice","ok"))))))</f>
        <v/>
      </c>
    </row>
    <row r="63" customFormat="false" ht="15" hidden="false" customHeight="false" outlineLevel="0" collapsed="false">
      <c r="A63" s="9"/>
      <c r="B63" s="9"/>
      <c r="C63" s="9"/>
      <c r="D63" s="10" t="str">
        <f aca="false">IF(A63="","",IF(SUMPRODUCT(--EXACT('2 Assets'!$A$2:$A$201,A63))=0,"'From' is not an asset",IF(SUMPRODUCT(--EXACT('2 Assets'!$A$2:$A$201,C63))=0,"'To' is not an asset",IF(SUMPRODUCT(--EXACT('1 Relationship types'!$A$2:$A$201,B63))=0,"Relationship is not defined",IF(A63=C63,"An asset cannot relate to itself",IF(SUMPRODUCT(--EXACT($A$2:$A$201,A63),--EXACT($B$2:$B$201,B63),--EXACT($C$2:$C$201,C63))&gt;1,"Listed twice","ok"))))))</f>
        <v/>
      </c>
    </row>
    <row r="64" customFormat="false" ht="15" hidden="false" customHeight="false" outlineLevel="0" collapsed="false">
      <c r="A64" s="9"/>
      <c r="B64" s="9"/>
      <c r="C64" s="9"/>
      <c r="D64" s="10" t="str">
        <f aca="false">IF(A64="","",IF(SUMPRODUCT(--EXACT('2 Assets'!$A$2:$A$201,A64))=0,"'From' is not an asset",IF(SUMPRODUCT(--EXACT('2 Assets'!$A$2:$A$201,C64))=0,"'To' is not an asset",IF(SUMPRODUCT(--EXACT('1 Relationship types'!$A$2:$A$201,B64))=0,"Relationship is not defined",IF(A64=C64,"An asset cannot relate to itself",IF(SUMPRODUCT(--EXACT($A$2:$A$201,A64),--EXACT($B$2:$B$201,B64),--EXACT($C$2:$C$201,C64))&gt;1,"Listed twice","ok"))))))</f>
        <v/>
      </c>
    </row>
    <row r="65" customFormat="false" ht="15" hidden="false" customHeight="false" outlineLevel="0" collapsed="false">
      <c r="A65" s="9"/>
      <c r="B65" s="9"/>
      <c r="C65" s="9"/>
      <c r="D65" s="10" t="str">
        <f aca="false">IF(A65="","",IF(SUMPRODUCT(--EXACT('2 Assets'!$A$2:$A$201,A65))=0,"'From' is not an asset",IF(SUMPRODUCT(--EXACT('2 Assets'!$A$2:$A$201,C65))=0,"'To' is not an asset",IF(SUMPRODUCT(--EXACT('1 Relationship types'!$A$2:$A$201,B65))=0,"Relationship is not defined",IF(A65=C65,"An asset cannot relate to itself",IF(SUMPRODUCT(--EXACT($A$2:$A$201,A65),--EXACT($B$2:$B$201,B65),--EXACT($C$2:$C$201,C65))&gt;1,"Listed twice","ok"))))))</f>
        <v/>
      </c>
    </row>
    <row r="66" customFormat="false" ht="15" hidden="false" customHeight="false" outlineLevel="0" collapsed="false">
      <c r="A66" s="9"/>
      <c r="B66" s="9"/>
      <c r="C66" s="9"/>
      <c r="D66" s="10" t="str">
        <f aca="false">IF(A66="","",IF(SUMPRODUCT(--EXACT('2 Assets'!$A$2:$A$201,A66))=0,"'From' is not an asset",IF(SUMPRODUCT(--EXACT('2 Assets'!$A$2:$A$201,C66))=0,"'To' is not an asset",IF(SUMPRODUCT(--EXACT('1 Relationship types'!$A$2:$A$201,B66))=0,"Relationship is not defined",IF(A66=C66,"An asset cannot relate to itself",IF(SUMPRODUCT(--EXACT($A$2:$A$201,A66),--EXACT($B$2:$B$201,B66),--EXACT($C$2:$C$201,C66))&gt;1,"Listed twice","ok"))))))</f>
        <v/>
      </c>
    </row>
    <row r="67" customFormat="false" ht="15" hidden="false" customHeight="false" outlineLevel="0" collapsed="false">
      <c r="A67" s="9"/>
      <c r="B67" s="9"/>
      <c r="C67" s="9"/>
      <c r="D67" s="10" t="str">
        <f aca="false">IF(A67="","",IF(SUMPRODUCT(--EXACT('2 Assets'!$A$2:$A$201,A67))=0,"'From' is not an asset",IF(SUMPRODUCT(--EXACT('2 Assets'!$A$2:$A$201,C67))=0,"'To' is not an asset",IF(SUMPRODUCT(--EXACT('1 Relationship types'!$A$2:$A$201,B67))=0,"Relationship is not defined",IF(A67=C67,"An asset cannot relate to itself",IF(SUMPRODUCT(--EXACT($A$2:$A$201,A67),--EXACT($B$2:$B$201,B67),--EXACT($C$2:$C$201,C67))&gt;1,"Listed twice","ok"))))))</f>
        <v/>
      </c>
    </row>
    <row r="68" customFormat="false" ht="15" hidden="false" customHeight="false" outlineLevel="0" collapsed="false">
      <c r="A68" s="9"/>
      <c r="B68" s="9"/>
      <c r="C68" s="9"/>
      <c r="D68" s="10" t="str">
        <f aca="false">IF(A68="","",IF(SUMPRODUCT(--EXACT('2 Assets'!$A$2:$A$201,A68))=0,"'From' is not an asset",IF(SUMPRODUCT(--EXACT('2 Assets'!$A$2:$A$201,C68))=0,"'To' is not an asset",IF(SUMPRODUCT(--EXACT('1 Relationship types'!$A$2:$A$201,B68))=0,"Relationship is not defined",IF(A68=C68,"An asset cannot relate to itself",IF(SUMPRODUCT(--EXACT($A$2:$A$201,A68),--EXACT($B$2:$B$201,B68),--EXACT($C$2:$C$201,C68))&gt;1,"Listed twice","ok"))))))</f>
        <v/>
      </c>
    </row>
    <row r="69" customFormat="false" ht="15" hidden="false" customHeight="false" outlineLevel="0" collapsed="false">
      <c r="A69" s="9"/>
      <c r="B69" s="9"/>
      <c r="C69" s="9"/>
      <c r="D69" s="10" t="str">
        <f aca="false">IF(A69="","",IF(SUMPRODUCT(--EXACT('2 Assets'!$A$2:$A$201,A69))=0,"'From' is not an asset",IF(SUMPRODUCT(--EXACT('2 Assets'!$A$2:$A$201,C69))=0,"'To' is not an asset",IF(SUMPRODUCT(--EXACT('1 Relationship types'!$A$2:$A$201,B69))=0,"Relationship is not defined",IF(A69=C69,"An asset cannot relate to itself",IF(SUMPRODUCT(--EXACT($A$2:$A$201,A69),--EXACT($B$2:$B$201,B69),--EXACT($C$2:$C$201,C69))&gt;1,"Listed twice","ok"))))))</f>
        <v/>
      </c>
    </row>
    <row r="70" customFormat="false" ht="15" hidden="false" customHeight="false" outlineLevel="0" collapsed="false">
      <c r="A70" s="9"/>
      <c r="B70" s="9"/>
      <c r="C70" s="9"/>
      <c r="D70" s="10" t="str">
        <f aca="false">IF(A70="","",IF(SUMPRODUCT(--EXACT('2 Assets'!$A$2:$A$201,A70))=0,"'From' is not an asset",IF(SUMPRODUCT(--EXACT('2 Assets'!$A$2:$A$201,C70))=0,"'To' is not an asset",IF(SUMPRODUCT(--EXACT('1 Relationship types'!$A$2:$A$201,B70))=0,"Relationship is not defined",IF(A70=C70,"An asset cannot relate to itself",IF(SUMPRODUCT(--EXACT($A$2:$A$201,A70),--EXACT($B$2:$B$201,B70),--EXACT($C$2:$C$201,C70))&gt;1,"Listed twice","ok"))))))</f>
        <v/>
      </c>
    </row>
    <row r="71" customFormat="false" ht="15" hidden="false" customHeight="false" outlineLevel="0" collapsed="false">
      <c r="A71" s="9"/>
      <c r="B71" s="9"/>
      <c r="C71" s="9"/>
      <c r="D71" s="10" t="str">
        <f aca="false">IF(A71="","",IF(SUMPRODUCT(--EXACT('2 Assets'!$A$2:$A$201,A71))=0,"'From' is not an asset",IF(SUMPRODUCT(--EXACT('2 Assets'!$A$2:$A$201,C71))=0,"'To' is not an asset",IF(SUMPRODUCT(--EXACT('1 Relationship types'!$A$2:$A$201,B71))=0,"Relationship is not defined",IF(A71=C71,"An asset cannot relate to itself",IF(SUMPRODUCT(--EXACT($A$2:$A$201,A71),--EXACT($B$2:$B$201,B71),--EXACT($C$2:$C$201,C71))&gt;1,"Listed twice","ok"))))))</f>
        <v/>
      </c>
    </row>
    <row r="72" customFormat="false" ht="15" hidden="false" customHeight="false" outlineLevel="0" collapsed="false">
      <c r="A72" s="9"/>
      <c r="B72" s="9"/>
      <c r="C72" s="9"/>
      <c r="D72" s="10" t="str">
        <f aca="false">IF(A72="","",IF(SUMPRODUCT(--EXACT('2 Assets'!$A$2:$A$201,A72))=0,"'From' is not an asset",IF(SUMPRODUCT(--EXACT('2 Assets'!$A$2:$A$201,C72))=0,"'To' is not an asset",IF(SUMPRODUCT(--EXACT('1 Relationship types'!$A$2:$A$201,B72))=0,"Relationship is not defined",IF(A72=C72,"An asset cannot relate to itself",IF(SUMPRODUCT(--EXACT($A$2:$A$201,A72),--EXACT($B$2:$B$201,B72),--EXACT($C$2:$C$201,C72))&gt;1,"Listed twice","ok"))))))</f>
        <v/>
      </c>
    </row>
    <row r="73" customFormat="false" ht="15" hidden="false" customHeight="false" outlineLevel="0" collapsed="false">
      <c r="A73" s="9"/>
      <c r="B73" s="9"/>
      <c r="C73" s="9"/>
      <c r="D73" s="10" t="str">
        <f aca="false">IF(A73="","",IF(SUMPRODUCT(--EXACT('2 Assets'!$A$2:$A$201,A73))=0,"'From' is not an asset",IF(SUMPRODUCT(--EXACT('2 Assets'!$A$2:$A$201,C73))=0,"'To' is not an asset",IF(SUMPRODUCT(--EXACT('1 Relationship types'!$A$2:$A$201,B73))=0,"Relationship is not defined",IF(A73=C73,"An asset cannot relate to itself",IF(SUMPRODUCT(--EXACT($A$2:$A$201,A73),--EXACT($B$2:$B$201,B73),--EXACT($C$2:$C$201,C73))&gt;1,"Listed twice","ok"))))))</f>
        <v/>
      </c>
    </row>
    <row r="74" customFormat="false" ht="15" hidden="false" customHeight="false" outlineLevel="0" collapsed="false">
      <c r="A74" s="9"/>
      <c r="B74" s="9"/>
      <c r="C74" s="9"/>
      <c r="D74" s="10" t="str">
        <f aca="false">IF(A74="","",IF(SUMPRODUCT(--EXACT('2 Assets'!$A$2:$A$201,A74))=0,"'From' is not an asset",IF(SUMPRODUCT(--EXACT('2 Assets'!$A$2:$A$201,C74))=0,"'To' is not an asset",IF(SUMPRODUCT(--EXACT('1 Relationship types'!$A$2:$A$201,B74))=0,"Relationship is not defined",IF(A74=C74,"An asset cannot relate to itself",IF(SUMPRODUCT(--EXACT($A$2:$A$201,A74),--EXACT($B$2:$B$201,B74),--EXACT($C$2:$C$201,C74))&gt;1,"Listed twice","ok"))))))</f>
        <v/>
      </c>
    </row>
    <row r="75" customFormat="false" ht="15" hidden="false" customHeight="false" outlineLevel="0" collapsed="false">
      <c r="A75" s="9"/>
      <c r="B75" s="9"/>
      <c r="C75" s="9"/>
      <c r="D75" s="10" t="str">
        <f aca="false">IF(A75="","",IF(SUMPRODUCT(--EXACT('2 Assets'!$A$2:$A$201,A75))=0,"'From' is not an asset",IF(SUMPRODUCT(--EXACT('2 Assets'!$A$2:$A$201,C75))=0,"'To' is not an asset",IF(SUMPRODUCT(--EXACT('1 Relationship types'!$A$2:$A$201,B75))=0,"Relationship is not defined",IF(A75=C75,"An asset cannot relate to itself",IF(SUMPRODUCT(--EXACT($A$2:$A$201,A75),--EXACT($B$2:$B$201,B75),--EXACT($C$2:$C$201,C75))&gt;1,"Listed twice","ok"))))))</f>
        <v/>
      </c>
    </row>
    <row r="76" customFormat="false" ht="15" hidden="false" customHeight="false" outlineLevel="0" collapsed="false">
      <c r="A76" s="9"/>
      <c r="B76" s="9"/>
      <c r="C76" s="9"/>
      <c r="D76" s="10" t="str">
        <f aca="false">IF(A76="","",IF(SUMPRODUCT(--EXACT('2 Assets'!$A$2:$A$201,A76))=0,"'From' is not an asset",IF(SUMPRODUCT(--EXACT('2 Assets'!$A$2:$A$201,C76))=0,"'To' is not an asset",IF(SUMPRODUCT(--EXACT('1 Relationship types'!$A$2:$A$201,B76))=0,"Relationship is not defined",IF(A76=C76,"An asset cannot relate to itself",IF(SUMPRODUCT(--EXACT($A$2:$A$201,A76),--EXACT($B$2:$B$201,B76),--EXACT($C$2:$C$201,C76))&gt;1,"Listed twice","ok"))))))</f>
        <v/>
      </c>
    </row>
    <row r="77" customFormat="false" ht="15" hidden="false" customHeight="false" outlineLevel="0" collapsed="false">
      <c r="A77" s="9"/>
      <c r="B77" s="9"/>
      <c r="C77" s="9"/>
      <c r="D77" s="10" t="str">
        <f aca="false">IF(A77="","",IF(SUMPRODUCT(--EXACT('2 Assets'!$A$2:$A$201,A77))=0,"'From' is not an asset",IF(SUMPRODUCT(--EXACT('2 Assets'!$A$2:$A$201,C77))=0,"'To' is not an asset",IF(SUMPRODUCT(--EXACT('1 Relationship types'!$A$2:$A$201,B77))=0,"Relationship is not defined",IF(A77=C77,"An asset cannot relate to itself",IF(SUMPRODUCT(--EXACT($A$2:$A$201,A77),--EXACT($B$2:$B$201,B77),--EXACT($C$2:$C$201,C77))&gt;1,"Listed twice","ok"))))))</f>
        <v/>
      </c>
    </row>
    <row r="78" customFormat="false" ht="15" hidden="false" customHeight="false" outlineLevel="0" collapsed="false">
      <c r="A78" s="9"/>
      <c r="B78" s="9"/>
      <c r="C78" s="9"/>
      <c r="D78" s="10" t="str">
        <f aca="false">IF(A78="","",IF(SUMPRODUCT(--EXACT('2 Assets'!$A$2:$A$201,A78))=0,"'From' is not an asset",IF(SUMPRODUCT(--EXACT('2 Assets'!$A$2:$A$201,C78))=0,"'To' is not an asset",IF(SUMPRODUCT(--EXACT('1 Relationship types'!$A$2:$A$201,B78))=0,"Relationship is not defined",IF(A78=C78,"An asset cannot relate to itself",IF(SUMPRODUCT(--EXACT($A$2:$A$201,A78),--EXACT($B$2:$B$201,B78),--EXACT($C$2:$C$201,C78))&gt;1,"Listed twice","ok"))))))</f>
        <v/>
      </c>
    </row>
    <row r="79" customFormat="false" ht="15" hidden="false" customHeight="false" outlineLevel="0" collapsed="false">
      <c r="A79" s="9"/>
      <c r="B79" s="9"/>
      <c r="C79" s="9"/>
      <c r="D79" s="10" t="str">
        <f aca="false">IF(A79="","",IF(SUMPRODUCT(--EXACT('2 Assets'!$A$2:$A$201,A79))=0,"'From' is not an asset",IF(SUMPRODUCT(--EXACT('2 Assets'!$A$2:$A$201,C79))=0,"'To' is not an asset",IF(SUMPRODUCT(--EXACT('1 Relationship types'!$A$2:$A$201,B79))=0,"Relationship is not defined",IF(A79=C79,"An asset cannot relate to itself",IF(SUMPRODUCT(--EXACT($A$2:$A$201,A79),--EXACT($B$2:$B$201,B79),--EXACT($C$2:$C$201,C79))&gt;1,"Listed twice","ok"))))))</f>
        <v/>
      </c>
    </row>
    <row r="80" customFormat="false" ht="15" hidden="false" customHeight="false" outlineLevel="0" collapsed="false">
      <c r="A80" s="9"/>
      <c r="B80" s="9"/>
      <c r="C80" s="9"/>
      <c r="D80" s="10" t="str">
        <f aca="false">IF(A80="","",IF(SUMPRODUCT(--EXACT('2 Assets'!$A$2:$A$201,A80))=0,"'From' is not an asset",IF(SUMPRODUCT(--EXACT('2 Assets'!$A$2:$A$201,C80))=0,"'To' is not an asset",IF(SUMPRODUCT(--EXACT('1 Relationship types'!$A$2:$A$201,B80))=0,"Relationship is not defined",IF(A80=C80,"An asset cannot relate to itself",IF(SUMPRODUCT(--EXACT($A$2:$A$201,A80),--EXACT($B$2:$B$201,B80),--EXACT($C$2:$C$201,C80))&gt;1,"Listed twice","ok"))))))</f>
        <v/>
      </c>
    </row>
    <row r="81" customFormat="false" ht="15" hidden="false" customHeight="false" outlineLevel="0" collapsed="false">
      <c r="A81" s="9"/>
      <c r="B81" s="9"/>
      <c r="C81" s="9"/>
      <c r="D81" s="10" t="str">
        <f aca="false">IF(A81="","",IF(SUMPRODUCT(--EXACT('2 Assets'!$A$2:$A$201,A81))=0,"'From' is not an asset",IF(SUMPRODUCT(--EXACT('2 Assets'!$A$2:$A$201,C81))=0,"'To' is not an asset",IF(SUMPRODUCT(--EXACT('1 Relationship types'!$A$2:$A$201,B81))=0,"Relationship is not defined",IF(A81=C81,"An asset cannot relate to itself",IF(SUMPRODUCT(--EXACT($A$2:$A$201,A81),--EXACT($B$2:$B$201,B81),--EXACT($C$2:$C$201,C81))&gt;1,"Listed twice","ok"))))))</f>
        <v/>
      </c>
    </row>
    <row r="82" customFormat="false" ht="15" hidden="false" customHeight="false" outlineLevel="0" collapsed="false">
      <c r="A82" s="9"/>
      <c r="B82" s="9"/>
      <c r="C82" s="9"/>
      <c r="D82" s="10" t="str">
        <f aca="false">IF(A82="","",IF(SUMPRODUCT(--EXACT('2 Assets'!$A$2:$A$201,A82))=0,"'From' is not an asset",IF(SUMPRODUCT(--EXACT('2 Assets'!$A$2:$A$201,C82))=0,"'To' is not an asset",IF(SUMPRODUCT(--EXACT('1 Relationship types'!$A$2:$A$201,B82))=0,"Relationship is not defined",IF(A82=C82,"An asset cannot relate to itself",IF(SUMPRODUCT(--EXACT($A$2:$A$201,A82),--EXACT($B$2:$B$201,B82),--EXACT($C$2:$C$201,C82))&gt;1,"Listed twice","ok"))))))</f>
        <v/>
      </c>
    </row>
    <row r="83" customFormat="false" ht="15" hidden="false" customHeight="false" outlineLevel="0" collapsed="false">
      <c r="A83" s="9"/>
      <c r="B83" s="9"/>
      <c r="C83" s="9"/>
      <c r="D83" s="10" t="str">
        <f aca="false">IF(A83="","",IF(SUMPRODUCT(--EXACT('2 Assets'!$A$2:$A$201,A83))=0,"'From' is not an asset",IF(SUMPRODUCT(--EXACT('2 Assets'!$A$2:$A$201,C83))=0,"'To' is not an asset",IF(SUMPRODUCT(--EXACT('1 Relationship types'!$A$2:$A$201,B83))=0,"Relationship is not defined",IF(A83=C83,"An asset cannot relate to itself",IF(SUMPRODUCT(--EXACT($A$2:$A$201,A83),--EXACT($B$2:$B$201,B83),--EXACT($C$2:$C$201,C83))&gt;1,"Listed twice","ok"))))))</f>
        <v/>
      </c>
    </row>
    <row r="84" customFormat="false" ht="15" hidden="false" customHeight="false" outlineLevel="0" collapsed="false">
      <c r="A84" s="9"/>
      <c r="B84" s="9"/>
      <c r="C84" s="9"/>
      <c r="D84" s="10" t="str">
        <f aca="false">IF(A84="","",IF(SUMPRODUCT(--EXACT('2 Assets'!$A$2:$A$201,A84))=0,"'From' is not an asset",IF(SUMPRODUCT(--EXACT('2 Assets'!$A$2:$A$201,C84))=0,"'To' is not an asset",IF(SUMPRODUCT(--EXACT('1 Relationship types'!$A$2:$A$201,B84))=0,"Relationship is not defined",IF(A84=C84,"An asset cannot relate to itself",IF(SUMPRODUCT(--EXACT($A$2:$A$201,A84),--EXACT($B$2:$B$201,B84),--EXACT($C$2:$C$201,C84))&gt;1,"Listed twice","ok"))))))</f>
        <v/>
      </c>
    </row>
    <row r="85" customFormat="false" ht="15" hidden="false" customHeight="false" outlineLevel="0" collapsed="false">
      <c r="A85" s="9"/>
      <c r="B85" s="9"/>
      <c r="C85" s="9"/>
      <c r="D85" s="10" t="str">
        <f aca="false">IF(A85="","",IF(SUMPRODUCT(--EXACT('2 Assets'!$A$2:$A$201,A85))=0,"'From' is not an asset",IF(SUMPRODUCT(--EXACT('2 Assets'!$A$2:$A$201,C85))=0,"'To' is not an asset",IF(SUMPRODUCT(--EXACT('1 Relationship types'!$A$2:$A$201,B85))=0,"Relationship is not defined",IF(A85=C85,"An asset cannot relate to itself",IF(SUMPRODUCT(--EXACT($A$2:$A$201,A85),--EXACT($B$2:$B$201,B85),--EXACT($C$2:$C$201,C85))&gt;1,"Listed twice","ok"))))))</f>
        <v/>
      </c>
    </row>
    <row r="86" customFormat="false" ht="15" hidden="false" customHeight="false" outlineLevel="0" collapsed="false">
      <c r="A86" s="9"/>
      <c r="B86" s="9"/>
      <c r="C86" s="9"/>
      <c r="D86" s="10" t="str">
        <f aca="false">IF(A86="","",IF(SUMPRODUCT(--EXACT('2 Assets'!$A$2:$A$201,A86))=0,"'From' is not an asset",IF(SUMPRODUCT(--EXACT('2 Assets'!$A$2:$A$201,C86))=0,"'To' is not an asset",IF(SUMPRODUCT(--EXACT('1 Relationship types'!$A$2:$A$201,B86))=0,"Relationship is not defined",IF(A86=C86,"An asset cannot relate to itself",IF(SUMPRODUCT(--EXACT($A$2:$A$201,A86),--EXACT($B$2:$B$201,B86),--EXACT($C$2:$C$201,C86))&gt;1,"Listed twice","ok"))))))</f>
        <v/>
      </c>
    </row>
    <row r="87" customFormat="false" ht="15" hidden="false" customHeight="false" outlineLevel="0" collapsed="false">
      <c r="A87" s="9"/>
      <c r="B87" s="9"/>
      <c r="C87" s="9"/>
      <c r="D87" s="10" t="str">
        <f aca="false">IF(A87="","",IF(SUMPRODUCT(--EXACT('2 Assets'!$A$2:$A$201,A87))=0,"'From' is not an asset",IF(SUMPRODUCT(--EXACT('2 Assets'!$A$2:$A$201,C87))=0,"'To' is not an asset",IF(SUMPRODUCT(--EXACT('1 Relationship types'!$A$2:$A$201,B87))=0,"Relationship is not defined",IF(A87=C87,"An asset cannot relate to itself",IF(SUMPRODUCT(--EXACT($A$2:$A$201,A87),--EXACT($B$2:$B$201,B87),--EXACT($C$2:$C$201,C87))&gt;1,"Listed twice","ok"))))))</f>
        <v/>
      </c>
    </row>
    <row r="88" customFormat="false" ht="15" hidden="false" customHeight="false" outlineLevel="0" collapsed="false">
      <c r="A88" s="9"/>
      <c r="B88" s="9"/>
      <c r="C88" s="9"/>
      <c r="D88" s="10" t="str">
        <f aca="false">IF(A88="","",IF(SUMPRODUCT(--EXACT('2 Assets'!$A$2:$A$201,A88))=0,"'From' is not an asset",IF(SUMPRODUCT(--EXACT('2 Assets'!$A$2:$A$201,C88))=0,"'To' is not an asset",IF(SUMPRODUCT(--EXACT('1 Relationship types'!$A$2:$A$201,B88))=0,"Relationship is not defined",IF(A88=C88,"An asset cannot relate to itself",IF(SUMPRODUCT(--EXACT($A$2:$A$201,A88),--EXACT($B$2:$B$201,B88),--EXACT($C$2:$C$201,C88))&gt;1,"Listed twice","ok"))))))</f>
        <v/>
      </c>
    </row>
    <row r="89" customFormat="false" ht="15" hidden="false" customHeight="false" outlineLevel="0" collapsed="false">
      <c r="A89" s="9"/>
      <c r="B89" s="9"/>
      <c r="C89" s="9"/>
      <c r="D89" s="10" t="str">
        <f aca="false">IF(A89="","",IF(SUMPRODUCT(--EXACT('2 Assets'!$A$2:$A$201,A89))=0,"'From' is not an asset",IF(SUMPRODUCT(--EXACT('2 Assets'!$A$2:$A$201,C89))=0,"'To' is not an asset",IF(SUMPRODUCT(--EXACT('1 Relationship types'!$A$2:$A$201,B89))=0,"Relationship is not defined",IF(A89=C89,"An asset cannot relate to itself",IF(SUMPRODUCT(--EXACT($A$2:$A$201,A89),--EXACT($B$2:$B$201,B89),--EXACT($C$2:$C$201,C89))&gt;1,"Listed twice","ok"))))))</f>
        <v/>
      </c>
    </row>
    <row r="90" customFormat="false" ht="15" hidden="false" customHeight="false" outlineLevel="0" collapsed="false">
      <c r="A90" s="9"/>
      <c r="B90" s="9"/>
      <c r="C90" s="9"/>
      <c r="D90" s="10" t="str">
        <f aca="false">IF(A90="","",IF(SUMPRODUCT(--EXACT('2 Assets'!$A$2:$A$201,A90))=0,"'From' is not an asset",IF(SUMPRODUCT(--EXACT('2 Assets'!$A$2:$A$201,C90))=0,"'To' is not an asset",IF(SUMPRODUCT(--EXACT('1 Relationship types'!$A$2:$A$201,B90))=0,"Relationship is not defined",IF(A90=C90,"An asset cannot relate to itself",IF(SUMPRODUCT(--EXACT($A$2:$A$201,A90),--EXACT($B$2:$B$201,B90),--EXACT($C$2:$C$201,C90))&gt;1,"Listed twice","ok"))))))</f>
        <v/>
      </c>
    </row>
    <row r="91" customFormat="false" ht="15" hidden="false" customHeight="false" outlineLevel="0" collapsed="false">
      <c r="A91" s="9"/>
      <c r="B91" s="9"/>
      <c r="C91" s="9"/>
      <c r="D91" s="10" t="str">
        <f aca="false">IF(A91="","",IF(SUMPRODUCT(--EXACT('2 Assets'!$A$2:$A$201,A91))=0,"'From' is not an asset",IF(SUMPRODUCT(--EXACT('2 Assets'!$A$2:$A$201,C91))=0,"'To' is not an asset",IF(SUMPRODUCT(--EXACT('1 Relationship types'!$A$2:$A$201,B91))=0,"Relationship is not defined",IF(A91=C91,"An asset cannot relate to itself",IF(SUMPRODUCT(--EXACT($A$2:$A$201,A91),--EXACT($B$2:$B$201,B91),--EXACT($C$2:$C$201,C91))&gt;1,"Listed twice","ok"))))))</f>
        <v/>
      </c>
    </row>
    <row r="92" customFormat="false" ht="15" hidden="false" customHeight="false" outlineLevel="0" collapsed="false">
      <c r="A92" s="9"/>
      <c r="B92" s="9"/>
      <c r="C92" s="9"/>
      <c r="D92" s="10" t="str">
        <f aca="false">IF(A92="","",IF(SUMPRODUCT(--EXACT('2 Assets'!$A$2:$A$201,A92))=0,"'From' is not an asset",IF(SUMPRODUCT(--EXACT('2 Assets'!$A$2:$A$201,C92))=0,"'To' is not an asset",IF(SUMPRODUCT(--EXACT('1 Relationship types'!$A$2:$A$201,B92))=0,"Relationship is not defined",IF(A92=C92,"An asset cannot relate to itself",IF(SUMPRODUCT(--EXACT($A$2:$A$201,A92),--EXACT($B$2:$B$201,B92),--EXACT($C$2:$C$201,C92))&gt;1,"Listed twice","ok"))))))</f>
        <v/>
      </c>
    </row>
    <row r="93" customFormat="false" ht="15" hidden="false" customHeight="false" outlineLevel="0" collapsed="false">
      <c r="A93" s="9"/>
      <c r="B93" s="9"/>
      <c r="C93" s="9"/>
      <c r="D93" s="10" t="str">
        <f aca="false">IF(A93="","",IF(SUMPRODUCT(--EXACT('2 Assets'!$A$2:$A$201,A93))=0,"'From' is not an asset",IF(SUMPRODUCT(--EXACT('2 Assets'!$A$2:$A$201,C93))=0,"'To' is not an asset",IF(SUMPRODUCT(--EXACT('1 Relationship types'!$A$2:$A$201,B93))=0,"Relationship is not defined",IF(A93=C93,"An asset cannot relate to itself",IF(SUMPRODUCT(--EXACT($A$2:$A$201,A93),--EXACT($B$2:$B$201,B93),--EXACT($C$2:$C$201,C93))&gt;1,"Listed twice","ok"))))))</f>
        <v/>
      </c>
    </row>
    <row r="94" customFormat="false" ht="15" hidden="false" customHeight="false" outlineLevel="0" collapsed="false">
      <c r="A94" s="9"/>
      <c r="B94" s="9"/>
      <c r="C94" s="9"/>
      <c r="D94" s="10" t="str">
        <f aca="false">IF(A94="","",IF(SUMPRODUCT(--EXACT('2 Assets'!$A$2:$A$201,A94))=0,"'From' is not an asset",IF(SUMPRODUCT(--EXACT('2 Assets'!$A$2:$A$201,C94))=0,"'To' is not an asset",IF(SUMPRODUCT(--EXACT('1 Relationship types'!$A$2:$A$201,B94))=0,"Relationship is not defined",IF(A94=C94,"An asset cannot relate to itself",IF(SUMPRODUCT(--EXACT($A$2:$A$201,A94),--EXACT($B$2:$B$201,B94),--EXACT($C$2:$C$201,C94))&gt;1,"Listed twice","ok"))))))</f>
        <v/>
      </c>
    </row>
    <row r="95" customFormat="false" ht="15" hidden="false" customHeight="false" outlineLevel="0" collapsed="false">
      <c r="A95" s="9"/>
      <c r="B95" s="9"/>
      <c r="C95" s="9"/>
      <c r="D95" s="10" t="str">
        <f aca="false">IF(A95="","",IF(SUMPRODUCT(--EXACT('2 Assets'!$A$2:$A$201,A95))=0,"'From' is not an asset",IF(SUMPRODUCT(--EXACT('2 Assets'!$A$2:$A$201,C95))=0,"'To' is not an asset",IF(SUMPRODUCT(--EXACT('1 Relationship types'!$A$2:$A$201,B95))=0,"Relationship is not defined",IF(A95=C95,"An asset cannot relate to itself",IF(SUMPRODUCT(--EXACT($A$2:$A$201,A95),--EXACT($B$2:$B$201,B95),--EXACT($C$2:$C$201,C95))&gt;1,"Listed twice","ok"))))))</f>
        <v/>
      </c>
    </row>
    <row r="96" customFormat="false" ht="15" hidden="false" customHeight="false" outlineLevel="0" collapsed="false">
      <c r="A96" s="9"/>
      <c r="B96" s="9"/>
      <c r="C96" s="9"/>
      <c r="D96" s="10" t="str">
        <f aca="false">IF(A96="","",IF(SUMPRODUCT(--EXACT('2 Assets'!$A$2:$A$201,A96))=0,"'From' is not an asset",IF(SUMPRODUCT(--EXACT('2 Assets'!$A$2:$A$201,C96))=0,"'To' is not an asset",IF(SUMPRODUCT(--EXACT('1 Relationship types'!$A$2:$A$201,B96))=0,"Relationship is not defined",IF(A96=C96,"An asset cannot relate to itself",IF(SUMPRODUCT(--EXACT($A$2:$A$201,A96),--EXACT($B$2:$B$201,B96),--EXACT($C$2:$C$201,C96))&gt;1,"Listed twice","ok"))))))</f>
        <v/>
      </c>
    </row>
    <row r="97" customFormat="false" ht="15" hidden="false" customHeight="false" outlineLevel="0" collapsed="false">
      <c r="A97" s="9"/>
      <c r="B97" s="9"/>
      <c r="C97" s="9"/>
      <c r="D97" s="10" t="str">
        <f aca="false">IF(A97="","",IF(SUMPRODUCT(--EXACT('2 Assets'!$A$2:$A$201,A97))=0,"'From' is not an asset",IF(SUMPRODUCT(--EXACT('2 Assets'!$A$2:$A$201,C97))=0,"'To' is not an asset",IF(SUMPRODUCT(--EXACT('1 Relationship types'!$A$2:$A$201,B97))=0,"Relationship is not defined",IF(A97=C97,"An asset cannot relate to itself",IF(SUMPRODUCT(--EXACT($A$2:$A$201,A97),--EXACT($B$2:$B$201,B97),--EXACT($C$2:$C$201,C97))&gt;1,"Listed twice","ok"))))))</f>
        <v/>
      </c>
    </row>
    <row r="98" customFormat="false" ht="15" hidden="false" customHeight="false" outlineLevel="0" collapsed="false">
      <c r="A98" s="9"/>
      <c r="B98" s="9"/>
      <c r="C98" s="9"/>
      <c r="D98" s="10" t="str">
        <f aca="false">IF(A98="","",IF(SUMPRODUCT(--EXACT('2 Assets'!$A$2:$A$201,A98))=0,"'From' is not an asset",IF(SUMPRODUCT(--EXACT('2 Assets'!$A$2:$A$201,C98))=0,"'To' is not an asset",IF(SUMPRODUCT(--EXACT('1 Relationship types'!$A$2:$A$201,B98))=0,"Relationship is not defined",IF(A98=C98,"An asset cannot relate to itself",IF(SUMPRODUCT(--EXACT($A$2:$A$201,A98),--EXACT($B$2:$B$201,B98),--EXACT($C$2:$C$201,C98))&gt;1,"Listed twice","ok"))))))</f>
        <v/>
      </c>
    </row>
    <row r="99" customFormat="false" ht="15" hidden="false" customHeight="false" outlineLevel="0" collapsed="false">
      <c r="A99" s="9"/>
      <c r="B99" s="9"/>
      <c r="C99" s="9"/>
      <c r="D99" s="10" t="str">
        <f aca="false">IF(A99="","",IF(SUMPRODUCT(--EXACT('2 Assets'!$A$2:$A$201,A99))=0,"'From' is not an asset",IF(SUMPRODUCT(--EXACT('2 Assets'!$A$2:$A$201,C99))=0,"'To' is not an asset",IF(SUMPRODUCT(--EXACT('1 Relationship types'!$A$2:$A$201,B99))=0,"Relationship is not defined",IF(A99=C99,"An asset cannot relate to itself",IF(SUMPRODUCT(--EXACT($A$2:$A$201,A99),--EXACT($B$2:$B$201,B99),--EXACT($C$2:$C$201,C99))&gt;1,"Listed twice","ok"))))))</f>
        <v/>
      </c>
    </row>
    <row r="100" customFormat="false" ht="15" hidden="false" customHeight="false" outlineLevel="0" collapsed="false">
      <c r="A100" s="9"/>
      <c r="B100" s="9"/>
      <c r="C100" s="9"/>
      <c r="D100" s="10" t="str">
        <f aca="false">IF(A100="","",IF(SUMPRODUCT(--EXACT('2 Assets'!$A$2:$A$201,A100))=0,"'From' is not an asset",IF(SUMPRODUCT(--EXACT('2 Assets'!$A$2:$A$201,C100))=0,"'To' is not an asset",IF(SUMPRODUCT(--EXACT('1 Relationship types'!$A$2:$A$201,B100))=0,"Relationship is not defined",IF(A100=C100,"An asset cannot relate to itself",IF(SUMPRODUCT(--EXACT($A$2:$A$201,A100),--EXACT($B$2:$B$201,B100),--EXACT($C$2:$C$201,C100))&gt;1,"Listed twice","ok"))))))</f>
        <v/>
      </c>
    </row>
    <row r="101" customFormat="false" ht="15" hidden="false" customHeight="false" outlineLevel="0" collapsed="false">
      <c r="A101" s="9"/>
      <c r="B101" s="9"/>
      <c r="C101" s="9"/>
      <c r="D101" s="10" t="str">
        <f aca="false">IF(A101="","",IF(SUMPRODUCT(--EXACT('2 Assets'!$A$2:$A$201,A101))=0,"'From' is not an asset",IF(SUMPRODUCT(--EXACT('2 Assets'!$A$2:$A$201,C101))=0,"'To' is not an asset",IF(SUMPRODUCT(--EXACT('1 Relationship types'!$A$2:$A$201,B101))=0,"Relationship is not defined",IF(A101=C101,"An asset cannot relate to itself",IF(SUMPRODUCT(--EXACT($A$2:$A$201,A101),--EXACT($B$2:$B$201,B101),--EXACT($C$2:$C$201,C101))&gt;1,"Listed twice","ok"))))))</f>
        <v/>
      </c>
    </row>
    <row r="102" customFormat="false" ht="15" hidden="false" customHeight="false" outlineLevel="0" collapsed="false">
      <c r="A102" s="9"/>
      <c r="B102" s="9"/>
      <c r="C102" s="9"/>
      <c r="D102" s="10" t="str">
        <f aca="false">IF(A102="","",IF(SUMPRODUCT(--EXACT('2 Assets'!$A$2:$A$201,A102))=0,"'From' is not an asset",IF(SUMPRODUCT(--EXACT('2 Assets'!$A$2:$A$201,C102))=0,"'To' is not an asset",IF(SUMPRODUCT(--EXACT('1 Relationship types'!$A$2:$A$201,B102))=0,"Relationship is not defined",IF(A102=C102,"An asset cannot relate to itself",IF(SUMPRODUCT(--EXACT($A$2:$A$201,A102),--EXACT($B$2:$B$201,B102),--EXACT($C$2:$C$201,C102))&gt;1,"Listed twice","ok"))))))</f>
        <v/>
      </c>
    </row>
    <row r="103" customFormat="false" ht="15" hidden="false" customHeight="false" outlineLevel="0" collapsed="false">
      <c r="A103" s="9"/>
      <c r="B103" s="9"/>
      <c r="C103" s="9"/>
      <c r="D103" s="10" t="str">
        <f aca="false">IF(A103="","",IF(SUMPRODUCT(--EXACT('2 Assets'!$A$2:$A$201,A103))=0,"'From' is not an asset",IF(SUMPRODUCT(--EXACT('2 Assets'!$A$2:$A$201,C103))=0,"'To' is not an asset",IF(SUMPRODUCT(--EXACT('1 Relationship types'!$A$2:$A$201,B103))=0,"Relationship is not defined",IF(A103=C103,"An asset cannot relate to itself",IF(SUMPRODUCT(--EXACT($A$2:$A$201,A103),--EXACT($B$2:$B$201,B103),--EXACT($C$2:$C$201,C103))&gt;1,"Listed twice","ok"))))))</f>
        <v/>
      </c>
    </row>
    <row r="104" customFormat="false" ht="15" hidden="false" customHeight="false" outlineLevel="0" collapsed="false">
      <c r="A104" s="9"/>
      <c r="B104" s="9"/>
      <c r="C104" s="9"/>
      <c r="D104" s="10" t="str">
        <f aca="false">IF(A104="","",IF(SUMPRODUCT(--EXACT('2 Assets'!$A$2:$A$201,A104))=0,"'From' is not an asset",IF(SUMPRODUCT(--EXACT('2 Assets'!$A$2:$A$201,C104))=0,"'To' is not an asset",IF(SUMPRODUCT(--EXACT('1 Relationship types'!$A$2:$A$201,B104))=0,"Relationship is not defined",IF(A104=C104,"An asset cannot relate to itself",IF(SUMPRODUCT(--EXACT($A$2:$A$201,A104),--EXACT($B$2:$B$201,B104),--EXACT($C$2:$C$201,C104))&gt;1,"Listed twice","ok"))))))</f>
        <v/>
      </c>
    </row>
    <row r="105" customFormat="false" ht="15" hidden="false" customHeight="false" outlineLevel="0" collapsed="false">
      <c r="A105" s="9"/>
      <c r="B105" s="9"/>
      <c r="C105" s="9"/>
      <c r="D105" s="10" t="str">
        <f aca="false">IF(A105="","",IF(SUMPRODUCT(--EXACT('2 Assets'!$A$2:$A$201,A105))=0,"'From' is not an asset",IF(SUMPRODUCT(--EXACT('2 Assets'!$A$2:$A$201,C105))=0,"'To' is not an asset",IF(SUMPRODUCT(--EXACT('1 Relationship types'!$A$2:$A$201,B105))=0,"Relationship is not defined",IF(A105=C105,"An asset cannot relate to itself",IF(SUMPRODUCT(--EXACT($A$2:$A$201,A105),--EXACT($B$2:$B$201,B105),--EXACT($C$2:$C$201,C105))&gt;1,"Listed twice","ok"))))))</f>
        <v/>
      </c>
    </row>
    <row r="106" customFormat="false" ht="15" hidden="false" customHeight="false" outlineLevel="0" collapsed="false">
      <c r="A106" s="9"/>
      <c r="B106" s="9"/>
      <c r="C106" s="9"/>
      <c r="D106" s="10" t="str">
        <f aca="false">IF(A106="","",IF(SUMPRODUCT(--EXACT('2 Assets'!$A$2:$A$201,A106))=0,"'From' is not an asset",IF(SUMPRODUCT(--EXACT('2 Assets'!$A$2:$A$201,C106))=0,"'To' is not an asset",IF(SUMPRODUCT(--EXACT('1 Relationship types'!$A$2:$A$201,B106))=0,"Relationship is not defined",IF(A106=C106,"An asset cannot relate to itself",IF(SUMPRODUCT(--EXACT($A$2:$A$201,A106),--EXACT($B$2:$B$201,B106),--EXACT($C$2:$C$201,C106))&gt;1,"Listed twice","ok"))))))</f>
        <v/>
      </c>
    </row>
    <row r="107" customFormat="false" ht="15" hidden="false" customHeight="false" outlineLevel="0" collapsed="false">
      <c r="A107" s="9"/>
      <c r="B107" s="9"/>
      <c r="C107" s="9"/>
      <c r="D107" s="10" t="str">
        <f aca="false">IF(A107="","",IF(SUMPRODUCT(--EXACT('2 Assets'!$A$2:$A$201,A107))=0,"'From' is not an asset",IF(SUMPRODUCT(--EXACT('2 Assets'!$A$2:$A$201,C107))=0,"'To' is not an asset",IF(SUMPRODUCT(--EXACT('1 Relationship types'!$A$2:$A$201,B107))=0,"Relationship is not defined",IF(A107=C107,"An asset cannot relate to itself",IF(SUMPRODUCT(--EXACT($A$2:$A$201,A107),--EXACT($B$2:$B$201,B107),--EXACT($C$2:$C$201,C107))&gt;1,"Listed twice","ok"))))))</f>
        <v/>
      </c>
    </row>
    <row r="108" customFormat="false" ht="15" hidden="false" customHeight="false" outlineLevel="0" collapsed="false">
      <c r="A108" s="9"/>
      <c r="B108" s="9"/>
      <c r="C108" s="9"/>
      <c r="D108" s="10" t="str">
        <f aca="false">IF(A108="","",IF(SUMPRODUCT(--EXACT('2 Assets'!$A$2:$A$201,A108))=0,"'From' is not an asset",IF(SUMPRODUCT(--EXACT('2 Assets'!$A$2:$A$201,C108))=0,"'To' is not an asset",IF(SUMPRODUCT(--EXACT('1 Relationship types'!$A$2:$A$201,B108))=0,"Relationship is not defined",IF(A108=C108,"An asset cannot relate to itself",IF(SUMPRODUCT(--EXACT($A$2:$A$201,A108),--EXACT($B$2:$B$201,B108),--EXACT($C$2:$C$201,C108))&gt;1,"Listed twice","ok"))))))</f>
        <v/>
      </c>
    </row>
    <row r="109" customFormat="false" ht="15" hidden="false" customHeight="false" outlineLevel="0" collapsed="false">
      <c r="A109" s="9"/>
      <c r="B109" s="9"/>
      <c r="C109" s="9"/>
      <c r="D109" s="10" t="str">
        <f aca="false">IF(A109="","",IF(SUMPRODUCT(--EXACT('2 Assets'!$A$2:$A$201,A109))=0,"'From' is not an asset",IF(SUMPRODUCT(--EXACT('2 Assets'!$A$2:$A$201,C109))=0,"'To' is not an asset",IF(SUMPRODUCT(--EXACT('1 Relationship types'!$A$2:$A$201,B109))=0,"Relationship is not defined",IF(A109=C109,"An asset cannot relate to itself",IF(SUMPRODUCT(--EXACT($A$2:$A$201,A109),--EXACT($B$2:$B$201,B109),--EXACT($C$2:$C$201,C109))&gt;1,"Listed twice","ok"))))))</f>
        <v/>
      </c>
    </row>
    <row r="110" customFormat="false" ht="15" hidden="false" customHeight="false" outlineLevel="0" collapsed="false">
      <c r="A110" s="9"/>
      <c r="B110" s="9"/>
      <c r="C110" s="9"/>
      <c r="D110" s="10" t="str">
        <f aca="false">IF(A110="","",IF(SUMPRODUCT(--EXACT('2 Assets'!$A$2:$A$201,A110))=0,"'From' is not an asset",IF(SUMPRODUCT(--EXACT('2 Assets'!$A$2:$A$201,C110))=0,"'To' is not an asset",IF(SUMPRODUCT(--EXACT('1 Relationship types'!$A$2:$A$201,B110))=0,"Relationship is not defined",IF(A110=C110,"An asset cannot relate to itself",IF(SUMPRODUCT(--EXACT($A$2:$A$201,A110),--EXACT($B$2:$B$201,B110),--EXACT($C$2:$C$201,C110))&gt;1,"Listed twice","ok"))))))</f>
        <v/>
      </c>
    </row>
    <row r="111" customFormat="false" ht="15" hidden="false" customHeight="false" outlineLevel="0" collapsed="false">
      <c r="A111" s="9"/>
      <c r="B111" s="9"/>
      <c r="C111" s="9"/>
      <c r="D111" s="10" t="str">
        <f aca="false">IF(A111="","",IF(SUMPRODUCT(--EXACT('2 Assets'!$A$2:$A$201,A111))=0,"'From' is not an asset",IF(SUMPRODUCT(--EXACT('2 Assets'!$A$2:$A$201,C111))=0,"'To' is not an asset",IF(SUMPRODUCT(--EXACT('1 Relationship types'!$A$2:$A$201,B111))=0,"Relationship is not defined",IF(A111=C111,"An asset cannot relate to itself",IF(SUMPRODUCT(--EXACT($A$2:$A$201,A111),--EXACT($B$2:$B$201,B111),--EXACT($C$2:$C$201,C111))&gt;1,"Listed twice","ok"))))))</f>
        <v/>
      </c>
    </row>
    <row r="112" customFormat="false" ht="15" hidden="false" customHeight="false" outlineLevel="0" collapsed="false">
      <c r="A112" s="9"/>
      <c r="B112" s="9"/>
      <c r="C112" s="9"/>
      <c r="D112" s="10" t="str">
        <f aca="false">IF(A112="","",IF(SUMPRODUCT(--EXACT('2 Assets'!$A$2:$A$201,A112))=0,"'From' is not an asset",IF(SUMPRODUCT(--EXACT('2 Assets'!$A$2:$A$201,C112))=0,"'To' is not an asset",IF(SUMPRODUCT(--EXACT('1 Relationship types'!$A$2:$A$201,B112))=0,"Relationship is not defined",IF(A112=C112,"An asset cannot relate to itself",IF(SUMPRODUCT(--EXACT($A$2:$A$201,A112),--EXACT($B$2:$B$201,B112),--EXACT($C$2:$C$201,C112))&gt;1,"Listed twice","ok"))))))</f>
        <v/>
      </c>
    </row>
    <row r="113" customFormat="false" ht="15" hidden="false" customHeight="false" outlineLevel="0" collapsed="false">
      <c r="A113" s="9"/>
      <c r="B113" s="9"/>
      <c r="C113" s="9"/>
      <c r="D113" s="10" t="str">
        <f aca="false">IF(A113="","",IF(SUMPRODUCT(--EXACT('2 Assets'!$A$2:$A$201,A113))=0,"'From' is not an asset",IF(SUMPRODUCT(--EXACT('2 Assets'!$A$2:$A$201,C113))=0,"'To' is not an asset",IF(SUMPRODUCT(--EXACT('1 Relationship types'!$A$2:$A$201,B113))=0,"Relationship is not defined",IF(A113=C113,"An asset cannot relate to itself",IF(SUMPRODUCT(--EXACT($A$2:$A$201,A113),--EXACT($B$2:$B$201,B113),--EXACT($C$2:$C$201,C113))&gt;1,"Listed twice","ok"))))))</f>
        <v/>
      </c>
    </row>
    <row r="114" customFormat="false" ht="15" hidden="false" customHeight="false" outlineLevel="0" collapsed="false">
      <c r="A114" s="9"/>
      <c r="B114" s="9"/>
      <c r="C114" s="9"/>
      <c r="D114" s="10" t="str">
        <f aca="false">IF(A114="","",IF(SUMPRODUCT(--EXACT('2 Assets'!$A$2:$A$201,A114))=0,"'From' is not an asset",IF(SUMPRODUCT(--EXACT('2 Assets'!$A$2:$A$201,C114))=0,"'To' is not an asset",IF(SUMPRODUCT(--EXACT('1 Relationship types'!$A$2:$A$201,B114))=0,"Relationship is not defined",IF(A114=C114,"An asset cannot relate to itself",IF(SUMPRODUCT(--EXACT($A$2:$A$201,A114),--EXACT($B$2:$B$201,B114),--EXACT($C$2:$C$201,C114))&gt;1,"Listed twice","ok"))))))</f>
        <v/>
      </c>
    </row>
    <row r="115" customFormat="false" ht="15" hidden="false" customHeight="false" outlineLevel="0" collapsed="false">
      <c r="A115" s="9"/>
      <c r="B115" s="9"/>
      <c r="C115" s="9"/>
      <c r="D115" s="10" t="str">
        <f aca="false">IF(A115="","",IF(SUMPRODUCT(--EXACT('2 Assets'!$A$2:$A$201,A115))=0,"'From' is not an asset",IF(SUMPRODUCT(--EXACT('2 Assets'!$A$2:$A$201,C115))=0,"'To' is not an asset",IF(SUMPRODUCT(--EXACT('1 Relationship types'!$A$2:$A$201,B115))=0,"Relationship is not defined",IF(A115=C115,"An asset cannot relate to itself",IF(SUMPRODUCT(--EXACT($A$2:$A$201,A115),--EXACT($B$2:$B$201,B115),--EXACT($C$2:$C$201,C115))&gt;1,"Listed twice","ok"))))))</f>
        <v/>
      </c>
    </row>
    <row r="116" customFormat="false" ht="15" hidden="false" customHeight="false" outlineLevel="0" collapsed="false">
      <c r="A116" s="9"/>
      <c r="B116" s="9"/>
      <c r="C116" s="9"/>
      <c r="D116" s="10" t="str">
        <f aca="false">IF(A116="","",IF(SUMPRODUCT(--EXACT('2 Assets'!$A$2:$A$201,A116))=0,"'From' is not an asset",IF(SUMPRODUCT(--EXACT('2 Assets'!$A$2:$A$201,C116))=0,"'To' is not an asset",IF(SUMPRODUCT(--EXACT('1 Relationship types'!$A$2:$A$201,B116))=0,"Relationship is not defined",IF(A116=C116,"An asset cannot relate to itself",IF(SUMPRODUCT(--EXACT($A$2:$A$201,A116),--EXACT($B$2:$B$201,B116),--EXACT($C$2:$C$201,C116))&gt;1,"Listed twice","ok"))))))</f>
        <v/>
      </c>
    </row>
    <row r="117" customFormat="false" ht="15" hidden="false" customHeight="false" outlineLevel="0" collapsed="false">
      <c r="A117" s="9"/>
      <c r="B117" s="9"/>
      <c r="C117" s="9"/>
      <c r="D117" s="10" t="str">
        <f aca="false">IF(A117="","",IF(SUMPRODUCT(--EXACT('2 Assets'!$A$2:$A$201,A117))=0,"'From' is not an asset",IF(SUMPRODUCT(--EXACT('2 Assets'!$A$2:$A$201,C117))=0,"'To' is not an asset",IF(SUMPRODUCT(--EXACT('1 Relationship types'!$A$2:$A$201,B117))=0,"Relationship is not defined",IF(A117=C117,"An asset cannot relate to itself",IF(SUMPRODUCT(--EXACT($A$2:$A$201,A117),--EXACT($B$2:$B$201,B117),--EXACT($C$2:$C$201,C117))&gt;1,"Listed twice","ok"))))))</f>
        <v/>
      </c>
    </row>
    <row r="118" customFormat="false" ht="15" hidden="false" customHeight="false" outlineLevel="0" collapsed="false">
      <c r="A118" s="9"/>
      <c r="B118" s="9"/>
      <c r="C118" s="9"/>
      <c r="D118" s="10" t="str">
        <f aca="false">IF(A118="","",IF(SUMPRODUCT(--EXACT('2 Assets'!$A$2:$A$201,A118))=0,"'From' is not an asset",IF(SUMPRODUCT(--EXACT('2 Assets'!$A$2:$A$201,C118))=0,"'To' is not an asset",IF(SUMPRODUCT(--EXACT('1 Relationship types'!$A$2:$A$201,B118))=0,"Relationship is not defined",IF(A118=C118,"An asset cannot relate to itself",IF(SUMPRODUCT(--EXACT($A$2:$A$201,A118),--EXACT($B$2:$B$201,B118),--EXACT($C$2:$C$201,C118))&gt;1,"Listed twice","ok"))))))</f>
        <v/>
      </c>
    </row>
    <row r="119" customFormat="false" ht="15" hidden="false" customHeight="false" outlineLevel="0" collapsed="false">
      <c r="A119" s="9"/>
      <c r="B119" s="9"/>
      <c r="C119" s="9"/>
      <c r="D119" s="10" t="str">
        <f aca="false">IF(A119="","",IF(SUMPRODUCT(--EXACT('2 Assets'!$A$2:$A$201,A119))=0,"'From' is not an asset",IF(SUMPRODUCT(--EXACT('2 Assets'!$A$2:$A$201,C119))=0,"'To' is not an asset",IF(SUMPRODUCT(--EXACT('1 Relationship types'!$A$2:$A$201,B119))=0,"Relationship is not defined",IF(A119=C119,"An asset cannot relate to itself",IF(SUMPRODUCT(--EXACT($A$2:$A$201,A119),--EXACT($B$2:$B$201,B119),--EXACT($C$2:$C$201,C119))&gt;1,"Listed twice","ok"))))))</f>
        <v/>
      </c>
    </row>
    <row r="120" customFormat="false" ht="15" hidden="false" customHeight="false" outlineLevel="0" collapsed="false">
      <c r="A120" s="9"/>
      <c r="B120" s="9"/>
      <c r="C120" s="9"/>
      <c r="D120" s="10" t="str">
        <f aca="false">IF(A120="","",IF(SUMPRODUCT(--EXACT('2 Assets'!$A$2:$A$201,A120))=0,"'From' is not an asset",IF(SUMPRODUCT(--EXACT('2 Assets'!$A$2:$A$201,C120))=0,"'To' is not an asset",IF(SUMPRODUCT(--EXACT('1 Relationship types'!$A$2:$A$201,B120))=0,"Relationship is not defined",IF(A120=C120,"An asset cannot relate to itself",IF(SUMPRODUCT(--EXACT($A$2:$A$201,A120),--EXACT($B$2:$B$201,B120),--EXACT($C$2:$C$201,C120))&gt;1,"Listed twice","ok"))))))</f>
        <v/>
      </c>
    </row>
    <row r="121" customFormat="false" ht="15" hidden="false" customHeight="false" outlineLevel="0" collapsed="false">
      <c r="A121" s="9"/>
      <c r="B121" s="9"/>
      <c r="C121" s="9"/>
      <c r="D121" s="10" t="str">
        <f aca="false">IF(A121="","",IF(SUMPRODUCT(--EXACT('2 Assets'!$A$2:$A$201,A121))=0,"'From' is not an asset",IF(SUMPRODUCT(--EXACT('2 Assets'!$A$2:$A$201,C121))=0,"'To' is not an asset",IF(SUMPRODUCT(--EXACT('1 Relationship types'!$A$2:$A$201,B121))=0,"Relationship is not defined",IF(A121=C121,"An asset cannot relate to itself",IF(SUMPRODUCT(--EXACT($A$2:$A$201,A121),--EXACT($B$2:$B$201,B121),--EXACT($C$2:$C$201,C121))&gt;1,"Listed twice","ok"))))))</f>
        <v/>
      </c>
    </row>
    <row r="122" customFormat="false" ht="15" hidden="false" customHeight="false" outlineLevel="0" collapsed="false">
      <c r="A122" s="9"/>
      <c r="B122" s="9"/>
      <c r="C122" s="9"/>
      <c r="D122" s="10" t="str">
        <f aca="false">IF(A122="","",IF(SUMPRODUCT(--EXACT('2 Assets'!$A$2:$A$201,A122))=0,"'From' is not an asset",IF(SUMPRODUCT(--EXACT('2 Assets'!$A$2:$A$201,C122))=0,"'To' is not an asset",IF(SUMPRODUCT(--EXACT('1 Relationship types'!$A$2:$A$201,B122))=0,"Relationship is not defined",IF(A122=C122,"An asset cannot relate to itself",IF(SUMPRODUCT(--EXACT($A$2:$A$201,A122),--EXACT($B$2:$B$201,B122),--EXACT($C$2:$C$201,C122))&gt;1,"Listed twice","ok"))))))</f>
        <v/>
      </c>
    </row>
    <row r="123" customFormat="false" ht="15" hidden="false" customHeight="false" outlineLevel="0" collapsed="false">
      <c r="A123" s="9"/>
      <c r="B123" s="9"/>
      <c r="C123" s="9"/>
      <c r="D123" s="10" t="str">
        <f aca="false">IF(A123="","",IF(SUMPRODUCT(--EXACT('2 Assets'!$A$2:$A$201,A123))=0,"'From' is not an asset",IF(SUMPRODUCT(--EXACT('2 Assets'!$A$2:$A$201,C123))=0,"'To' is not an asset",IF(SUMPRODUCT(--EXACT('1 Relationship types'!$A$2:$A$201,B123))=0,"Relationship is not defined",IF(A123=C123,"An asset cannot relate to itself",IF(SUMPRODUCT(--EXACT($A$2:$A$201,A123),--EXACT($B$2:$B$201,B123),--EXACT($C$2:$C$201,C123))&gt;1,"Listed twice","ok"))))))</f>
        <v/>
      </c>
    </row>
    <row r="124" customFormat="false" ht="15" hidden="false" customHeight="false" outlineLevel="0" collapsed="false">
      <c r="A124" s="9"/>
      <c r="B124" s="9"/>
      <c r="C124" s="9"/>
      <c r="D124" s="10" t="str">
        <f aca="false">IF(A124="","",IF(SUMPRODUCT(--EXACT('2 Assets'!$A$2:$A$201,A124))=0,"'From' is not an asset",IF(SUMPRODUCT(--EXACT('2 Assets'!$A$2:$A$201,C124))=0,"'To' is not an asset",IF(SUMPRODUCT(--EXACT('1 Relationship types'!$A$2:$A$201,B124))=0,"Relationship is not defined",IF(A124=C124,"An asset cannot relate to itself",IF(SUMPRODUCT(--EXACT($A$2:$A$201,A124),--EXACT($B$2:$B$201,B124),--EXACT($C$2:$C$201,C124))&gt;1,"Listed twice","ok"))))))</f>
        <v/>
      </c>
    </row>
    <row r="125" customFormat="false" ht="15" hidden="false" customHeight="false" outlineLevel="0" collapsed="false">
      <c r="A125" s="9"/>
      <c r="B125" s="9"/>
      <c r="C125" s="9"/>
      <c r="D125" s="10" t="str">
        <f aca="false">IF(A125="","",IF(SUMPRODUCT(--EXACT('2 Assets'!$A$2:$A$201,A125))=0,"'From' is not an asset",IF(SUMPRODUCT(--EXACT('2 Assets'!$A$2:$A$201,C125))=0,"'To' is not an asset",IF(SUMPRODUCT(--EXACT('1 Relationship types'!$A$2:$A$201,B125))=0,"Relationship is not defined",IF(A125=C125,"An asset cannot relate to itself",IF(SUMPRODUCT(--EXACT($A$2:$A$201,A125),--EXACT($B$2:$B$201,B125),--EXACT($C$2:$C$201,C125))&gt;1,"Listed twice","ok"))))))</f>
        <v/>
      </c>
    </row>
    <row r="126" customFormat="false" ht="15" hidden="false" customHeight="false" outlineLevel="0" collapsed="false">
      <c r="A126" s="9"/>
      <c r="B126" s="9"/>
      <c r="C126" s="9"/>
      <c r="D126" s="10" t="str">
        <f aca="false">IF(A126="","",IF(SUMPRODUCT(--EXACT('2 Assets'!$A$2:$A$201,A126))=0,"'From' is not an asset",IF(SUMPRODUCT(--EXACT('2 Assets'!$A$2:$A$201,C126))=0,"'To' is not an asset",IF(SUMPRODUCT(--EXACT('1 Relationship types'!$A$2:$A$201,B126))=0,"Relationship is not defined",IF(A126=C126,"An asset cannot relate to itself",IF(SUMPRODUCT(--EXACT($A$2:$A$201,A126),--EXACT($B$2:$B$201,B126),--EXACT($C$2:$C$201,C126))&gt;1,"Listed twice","ok"))))))</f>
        <v/>
      </c>
    </row>
    <row r="127" customFormat="false" ht="15" hidden="false" customHeight="false" outlineLevel="0" collapsed="false">
      <c r="A127" s="9"/>
      <c r="B127" s="9"/>
      <c r="C127" s="9"/>
      <c r="D127" s="10" t="str">
        <f aca="false">IF(A127="","",IF(SUMPRODUCT(--EXACT('2 Assets'!$A$2:$A$201,A127))=0,"'From' is not an asset",IF(SUMPRODUCT(--EXACT('2 Assets'!$A$2:$A$201,C127))=0,"'To' is not an asset",IF(SUMPRODUCT(--EXACT('1 Relationship types'!$A$2:$A$201,B127))=0,"Relationship is not defined",IF(A127=C127,"An asset cannot relate to itself",IF(SUMPRODUCT(--EXACT($A$2:$A$201,A127),--EXACT($B$2:$B$201,B127),--EXACT($C$2:$C$201,C127))&gt;1,"Listed twice","ok"))))))</f>
        <v/>
      </c>
    </row>
    <row r="128" customFormat="false" ht="15" hidden="false" customHeight="false" outlineLevel="0" collapsed="false">
      <c r="A128" s="9"/>
      <c r="B128" s="9"/>
      <c r="C128" s="9"/>
      <c r="D128" s="10" t="str">
        <f aca="false">IF(A128="","",IF(SUMPRODUCT(--EXACT('2 Assets'!$A$2:$A$201,A128))=0,"'From' is not an asset",IF(SUMPRODUCT(--EXACT('2 Assets'!$A$2:$A$201,C128))=0,"'To' is not an asset",IF(SUMPRODUCT(--EXACT('1 Relationship types'!$A$2:$A$201,B128))=0,"Relationship is not defined",IF(A128=C128,"An asset cannot relate to itself",IF(SUMPRODUCT(--EXACT($A$2:$A$201,A128),--EXACT($B$2:$B$201,B128),--EXACT($C$2:$C$201,C128))&gt;1,"Listed twice","ok"))))))</f>
        <v/>
      </c>
    </row>
    <row r="129" customFormat="false" ht="15" hidden="false" customHeight="false" outlineLevel="0" collapsed="false">
      <c r="A129" s="9"/>
      <c r="B129" s="9"/>
      <c r="C129" s="9"/>
      <c r="D129" s="10" t="str">
        <f aca="false">IF(A129="","",IF(SUMPRODUCT(--EXACT('2 Assets'!$A$2:$A$201,A129))=0,"'From' is not an asset",IF(SUMPRODUCT(--EXACT('2 Assets'!$A$2:$A$201,C129))=0,"'To' is not an asset",IF(SUMPRODUCT(--EXACT('1 Relationship types'!$A$2:$A$201,B129))=0,"Relationship is not defined",IF(A129=C129,"An asset cannot relate to itself",IF(SUMPRODUCT(--EXACT($A$2:$A$201,A129),--EXACT($B$2:$B$201,B129),--EXACT($C$2:$C$201,C129))&gt;1,"Listed twice","ok"))))))</f>
        <v/>
      </c>
    </row>
    <row r="130" customFormat="false" ht="15" hidden="false" customHeight="false" outlineLevel="0" collapsed="false">
      <c r="A130" s="9"/>
      <c r="B130" s="9"/>
      <c r="C130" s="9"/>
      <c r="D130" s="10" t="str">
        <f aca="false">IF(A130="","",IF(SUMPRODUCT(--EXACT('2 Assets'!$A$2:$A$201,A130))=0,"'From' is not an asset",IF(SUMPRODUCT(--EXACT('2 Assets'!$A$2:$A$201,C130))=0,"'To' is not an asset",IF(SUMPRODUCT(--EXACT('1 Relationship types'!$A$2:$A$201,B130))=0,"Relationship is not defined",IF(A130=C130,"An asset cannot relate to itself",IF(SUMPRODUCT(--EXACT($A$2:$A$201,A130),--EXACT($B$2:$B$201,B130),--EXACT($C$2:$C$201,C130))&gt;1,"Listed twice","ok"))))))</f>
        <v/>
      </c>
    </row>
    <row r="131" customFormat="false" ht="15" hidden="false" customHeight="false" outlineLevel="0" collapsed="false">
      <c r="A131" s="9"/>
      <c r="B131" s="9"/>
      <c r="C131" s="9"/>
      <c r="D131" s="10" t="str">
        <f aca="false">IF(A131="","",IF(SUMPRODUCT(--EXACT('2 Assets'!$A$2:$A$201,A131))=0,"'From' is not an asset",IF(SUMPRODUCT(--EXACT('2 Assets'!$A$2:$A$201,C131))=0,"'To' is not an asset",IF(SUMPRODUCT(--EXACT('1 Relationship types'!$A$2:$A$201,B131))=0,"Relationship is not defined",IF(A131=C131,"An asset cannot relate to itself",IF(SUMPRODUCT(--EXACT($A$2:$A$201,A131),--EXACT($B$2:$B$201,B131),--EXACT($C$2:$C$201,C131))&gt;1,"Listed twice","ok"))))))</f>
        <v/>
      </c>
    </row>
    <row r="132" customFormat="false" ht="15" hidden="false" customHeight="false" outlineLevel="0" collapsed="false">
      <c r="A132" s="9"/>
      <c r="B132" s="9"/>
      <c r="C132" s="9"/>
      <c r="D132" s="10" t="str">
        <f aca="false">IF(A132="","",IF(SUMPRODUCT(--EXACT('2 Assets'!$A$2:$A$201,A132))=0,"'From' is not an asset",IF(SUMPRODUCT(--EXACT('2 Assets'!$A$2:$A$201,C132))=0,"'To' is not an asset",IF(SUMPRODUCT(--EXACT('1 Relationship types'!$A$2:$A$201,B132))=0,"Relationship is not defined",IF(A132=C132,"An asset cannot relate to itself",IF(SUMPRODUCT(--EXACT($A$2:$A$201,A132),--EXACT($B$2:$B$201,B132),--EXACT($C$2:$C$201,C132))&gt;1,"Listed twice","ok"))))))</f>
        <v/>
      </c>
    </row>
    <row r="133" customFormat="false" ht="15" hidden="false" customHeight="false" outlineLevel="0" collapsed="false">
      <c r="A133" s="9"/>
      <c r="B133" s="9"/>
      <c r="C133" s="9"/>
      <c r="D133" s="10" t="str">
        <f aca="false">IF(A133="","",IF(SUMPRODUCT(--EXACT('2 Assets'!$A$2:$A$201,A133))=0,"'From' is not an asset",IF(SUMPRODUCT(--EXACT('2 Assets'!$A$2:$A$201,C133))=0,"'To' is not an asset",IF(SUMPRODUCT(--EXACT('1 Relationship types'!$A$2:$A$201,B133))=0,"Relationship is not defined",IF(A133=C133,"An asset cannot relate to itself",IF(SUMPRODUCT(--EXACT($A$2:$A$201,A133),--EXACT($B$2:$B$201,B133),--EXACT($C$2:$C$201,C133))&gt;1,"Listed twice","ok"))))))</f>
        <v/>
      </c>
    </row>
    <row r="134" customFormat="false" ht="15" hidden="false" customHeight="false" outlineLevel="0" collapsed="false">
      <c r="A134" s="9"/>
      <c r="B134" s="9"/>
      <c r="C134" s="9"/>
      <c r="D134" s="10" t="str">
        <f aca="false">IF(A134="","",IF(SUMPRODUCT(--EXACT('2 Assets'!$A$2:$A$201,A134))=0,"'From' is not an asset",IF(SUMPRODUCT(--EXACT('2 Assets'!$A$2:$A$201,C134))=0,"'To' is not an asset",IF(SUMPRODUCT(--EXACT('1 Relationship types'!$A$2:$A$201,B134))=0,"Relationship is not defined",IF(A134=C134,"An asset cannot relate to itself",IF(SUMPRODUCT(--EXACT($A$2:$A$201,A134),--EXACT($B$2:$B$201,B134),--EXACT($C$2:$C$201,C134))&gt;1,"Listed twice","ok"))))))</f>
        <v/>
      </c>
    </row>
    <row r="135" customFormat="false" ht="15" hidden="false" customHeight="false" outlineLevel="0" collapsed="false">
      <c r="A135" s="9"/>
      <c r="B135" s="9"/>
      <c r="C135" s="9"/>
      <c r="D135" s="10" t="str">
        <f aca="false">IF(A135="","",IF(SUMPRODUCT(--EXACT('2 Assets'!$A$2:$A$201,A135))=0,"'From' is not an asset",IF(SUMPRODUCT(--EXACT('2 Assets'!$A$2:$A$201,C135))=0,"'To' is not an asset",IF(SUMPRODUCT(--EXACT('1 Relationship types'!$A$2:$A$201,B135))=0,"Relationship is not defined",IF(A135=C135,"An asset cannot relate to itself",IF(SUMPRODUCT(--EXACT($A$2:$A$201,A135),--EXACT($B$2:$B$201,B135),--EXACT($C$2:$C$201,C135))&gt;1,"Listed twice","ok"))))))</f>
        <v/>
      </c>
    </row>
    <row r="136" customFormat="false" ht="15" hidden="false" customHeight="false" outlineLevel="0" collapsed="false">
      <c r="A136" s="9"/>
      <c r="B136" s="9"/>
      <c r="C136" s="9"/>
      <c r="D136" s="10" t="str">
        <f aca="false">IF(A136="","",IF(SUMPRODUCT(--EXACT('2 Assets'!$A$2:$A$201,A136))=0,"'From' is not an asset",IF(SUMPRODUCT(--EXACT('2 Assets'!$A$2:$A$201,C136))=0,"'To' is not an asset",IF(SUMPRODUCT(--EXACT('1 Relationship types'!$A$2:$A$201,B136))=0,"Relationship is not defined",IF(A136=C136,"An asset cannot relate to itself",IF(SUMPRODUCT(--EXACT($A$2:$A$201,A136),--EXACT($B$2:$B$201,B136),--EXACT($C$2:$C$201,C136))&gt;1,"Listed twice","ok"))))))</f>
        <v/>
      </c>
    </row>
    <row r="137" customFormat="false" ht="15" hidden="false" customHeight="false" outlineLevel="0" collapsed="false">
      <c r="A137" s="9"/>
      <c r="B137" s="9"/>
      <c r="C137" s="9"/>
      <c r="D137" s="10" t="str">
        <f aca="false">IF(A137="","",IF(SUMPRODUCT(--EXACT('2 Assets'!$A$2:$A$201,A137))=0,"'From' is not an asset",IF(SUMPRODUCT(--EXACT('2 Assets'!$A$2:$A$201,C137))=0,"'To' is not an asset",IF(SUMPRODUCT(--EXACT('1 Relationship types'!$A$2:$A$201,B137))=0,"Relationship is not defined",IF(A137=C137,"An asset cannot relate to itself",IF(SUMPRODUCT(--EXACT($A$2:$A$201,A137),--EXACT($B$2:$B$201,B137),--EXACT($C$2:$C$201,C137))&gt;1,"Listed twice","ok"))))))</f>
        <v/>
      </c>
    </row>
    <row r="138" customFormat="false" ht="15" hidden="false" customHeight="false" outlineLevel="0" collapsed="false">
      <c r="A138" s="9"/>
      <c r="B138" s="9"/>
      <c r="C138" s="9"/>
      <c r="D138" s="10" t="str">
        <f aca="false">IF(A138="","",IF(SUMPRODUCT(--EXACT('2 Assets'!$A$2:$A$201,A138))=0,"'From' is not an asset",IF(SUMPRODUCT(--EXACT('2 Assets'!$A$2:$A$201,C138))=0,"'To' is not an asset",IF(SUMPRODUCT(--EXACT('1 Relationship types'!$A$2:$A$201,B138))=0,"Relationship is not defined",IF(A138=C138,"An asset cannot relate to itself",IF(SUMPRODUCT(--EXACT($A$2:$A$201,A138),--EXACT($B$2:$B$201,B138),--EXACT($C$2:$C$201,C138))&gt;1,"Listed twice","ok"))))))</f>
        <v/>
      </c>
    </row>
    <row r="139" customFormat="false" ht="15" hidden="false" customHeight="false" outlineLevel="0" collapsed="false">
      <c r="A139" s="9"/>
      <c r="B139" s="9"/>
      <c r="C139" s="9"/>
      <c r="D139" s="10" t="str">
        <f aca="false">IF(A139="","",IF(SUMPRODUCT(--EXACT('2 Assets'!$A$2:$A$201,A139))=0,"'From' is not an asset",IF(SUMPRODUCT(--EXACT('2 Assets'!$A$2:$A$201,C139))=0,"'To' is not an asset",IF(SUMPRODUCT(--EXACT('1 Relationship types'!$A$2:$A$201,B139))=0,"Relationship is not defined",IF(A139=C139,"An asset cannot relate to itself",IF(SUMPRODUCT(--EXACT($A$2:$A$201,A139),--EXACT($B$2:$B$201,B139),--EXACT($C$2:$C$201,C139))&gt;1,"Listed twice","ok"))))))</f>
        <v/>
      </c>
    </row>
    <row r="140" customFormat="false" ht="15" hidden="false" customHeight="false" outlineLevel="0" collapsed="false">
      <c r="A140" s="9"/>
      <c r="B140" s="9"/>
      <c r="C140" s="9"/>
      <c r="D140" s="10" t="str">
        <f aca="false">IF(A140="","",IF(SUMPRODUCT(--EXACT('2 Assets'!$A$2:$A$201,A140))=0,"'From' is not an asset",IF(SUMPRODUCT(--EXACT('2 Assets'!$A$2:$A$201,C140))=0,"'To' is not an asset",IF(SUMPRODUCT(--EXACT('1 Relationship types'!$A$2:$A$201,B140))=0,"Relationship is not defined",IF(A140=C140,"An asset cannot relate to itself",IF(SUMPRODUCT(--EXACT($A$2:$A$201,A140),--EXACT($B$2:$B$201,B140),--EXACT($C$2:$C$201,C140))&gt;1,"Listed twice","ok"))))))</f>
        <v/>
      </c>
    </row>
    <row r="141" customFormat="false" ht="15" hidden="false" customHeight="false" outlineLevel="0" collapsed="false">
      <c r="A141" s="9"/>
      <c r="B141" s="9"/>
      <c r="C141" s="9"/>
      <c r="D141" s="10" t="str">
        <f aca="false">IF(A141="","",IF(SUMPRODUCT(--EXACT('2 Assets'!$A$2:$A$201,A141))=0,"'From' is not an asset",IF(SUMPRODUCT(--EXACT('2 Assets'!$A$2:$A$201,C141))=0,"'To' is not an asset",IF(SUMPRODUCT(--EXACT('1 Relationship types'!$A$2:$A$201,B141))=0,"Relationship is not defined",IF(A141=C141,"An asset cannot relate to itself",IF(SUMPRODUCT(--EXACT($A$2:$A$201,A141),--EXACT($B$2:$B$201,B141),--EXACT($C$2:$C$201,C141))&gt;1,"Listed twice","ok"))))))</f>
        <v/>
      </c>
    </row>
    <row r="142" customFormat="false" ht="15" hidden="false" customHeight="false" outlineLevel="0" collapsed="false">
      <c r="A142" s="9"/>
      <c r="B142" s="9"/>
      <c r="C142" s="9"/>
      <c r="D142" s="10" t="str">
        <f aca="false">IF(A142="","",IF(SUMPRODUCT(--EXACT('2 Assets'!$A$2:$A$201,A142))=0,"'From' is not an asset",IF(SUMPRODUCT(--EXACT('2 Assets'!$A$2:$A$201,C142))=0,"'To' is not an asset",IF(SUMPRODUCT(--EXACT('1 Relationship types'!$A$2:$A$201,B142))=0,"Relationship is not defined",IF(A142=C142,"An asset cannot relate to itself",IF(SUMPRODUCT(--EXACT($A$2:$A$201,A142),--EXACT($B$2:$B$201,B142),--EXACT($C$2:$C$201,C142))&gt;1,"Listed twice","ok"))))))</f>
        <v/>
      </c>
    </row>
    <row r="143" customFormat="false" ht="15" hidden="false" customHeight="false" outlineLevel="0" collapsed="false">
      <c r="A143" s="9"/>
      <c r="B143" s="9"/>
      <c r="C143" s="9"/>
      <c r="D143" s="10" t="str">
        <f aca="false">IF(A143="","",IF(SUMPRODUCT(--EXACT('2 Assets'!$A$2:$A$201,A143))=0,"'From' is not an asset",IF(SUMPRODUCT(--EXACT('2 Assets'!$A$2:$A$201,C143))=0,"'To' is not an asset",IF(SUMPRODUCT(--EXACT('1 Relationship types'!$A$2:$A$201,B143))=0,"Relationship is not defined",IF(A143=C143,"An asset cannot relate to itself",IF(SUMPRODUCT(--EXACT($A$2:$A$201,A143),--EXACT($B$2:$B$201,B143),--EXACT($C$2:$C$201,C143))&gt;1,"Listed twice","ok"))))))</f>
        <v/>
      </c>
    </row>
    <row r="144" customFormat="false" ht="15" hidden="false" customHeight="false" outlineLevel="0" collapsed="false">
      <c r="A144" s="9"/>
      <c r="B144" s="9"/>
      <c r="C144" s="9"/>
      <c r="D144" s="10" t="str">
        <f aca="false">IF(A144="","",IF(SUMPRODUCT(--EXACT('2 Assets'!$A$2:$A$201,A144))=0,"'From' is not an asset",IF(SUMPRODUCT(--EXACT('2 Assets'!$A$2:$A$201,C144))=0,"'To' is not an asset",IF(SUMPRODUCT(--EXACT('1 Relationship types'!$A$2:$A$201,B144))=0,"Relationship is not defined",IF(A144=C144,"An asset cannot relate to itself",IF(SUMPRODUCT(--EXACT($A$2:$A$201,A144),--EXACT($B$2:$B$201,B144),--EXACT($C$2:$C$201,C144))&gt;1,"Listed twice","ok"))))))</f>
        <v/>
      </c>
    </row>
    <row r="145" customFormat="false" ht="15" hidden="false" customHeight="false" outlineLevel="0" collapsed="false">
      <c r="A145" s="9"/>
      <c r="B145" s="9"/>
      <c r="C145" s="9"/>
      <c r="D145" s="10" t="str">
        <f aca="false">IF(A145="","",IF(SUMPRODUCT(--EXACT('2 Assets'!$A$2:$A$201,A145))=0,"'From' is not an asset",IF(SUMPRODUCT(--EXACT('2 Assets'!$A$2:$A$201,C145))=0,"'To' is not an asset",IF(SUMPRODUCT(--EXACT('1 Relationship types'!$A$2:$A$201,B145))=0,"Relationship is not defined",IF(A145=C145,"An asset cannot relate to itself",IF(SUMPRODUCT(--EXACT($A$2:$A$201,A145),--EXACT($B$2:$B$201,B145),--EXACT($C$2:$C$201,C145))&gt;1,"Listed twice","ok"))))))</f>
        <v/>
      </c>
    </row>
    <row r="146" customFormat="false" ht="15" hidden="false" customHeight="false" outlineLevel="0" collapsed="false">
      <c r="A146" s="9"/>
      <c r="B146" s="9"/>
      <c r="C146" s="9"/>
      <c r="D146" s="10" t="str">
        <f aca="false">IF(A146="","",IF(SUMPRODUCT(--EXACT('2 Assets'!$A$2:$A$201,A146))=0,"'From' is not an asset",IF(SUMPRODUCT(--EXACT('2 Assets'!$A$2:$A$201,C146))=0,"'To' is not an asset",IF(SUMPRODUCT(--EXACT('1 Relationship types'!$A$2:$A$201,B146))=0,"Relationship is not defined",IF(A146=C146,"An asset cannot relate to itself",IF(SUMPRODUCT(--EXACT($A$2:$A$201,A146),--EXACT($B$2:$B$201,B146),--EXACT($C$2:$C$201,C146))&gt;1,"Listed twice","ok"))))))</f>
        <v/>
      </c>
    </row>
    <row r="147" customFormat="false" ht="15" hidden="false" customHeight="false" outlineLevel="0" collapsed="false">
      <c r="A147" s="9"/>
      <c r="B147" s="9"/>
      <c r="C147" s="9"/>
      <c r="D147" s="10" t="str">
        <f aca="false">IF(A147="","",IF(SUMPRODUCT(--EXACT('2 Assets'!$A$2:$A$201,A147))=0,"'From' is not an asset",IF(SUMPRODUCT(--EXACT('2 Assets'!$A$2:$A$201,C147))=0,"'To' is not an asset",IF(SUMPRODUCT(--EXACT('1 Relationship types'!$A$2:$A$201,B147))=0,"Relationship is not defined",IF(A147=C147,"An asset cannot relate to itself",IF(SUMPRODUCT(--EXACT($A$2:$A$201,A147),--EXACT($B$2:$B$201,B147),--EXACT($C$2:$C$201,C147))&gt;1,"Listed twice","ok"))))))</f>
        <v/>
      </c>
    </row>
    <row r="148" customFormat="false" ht="15" hidden="false" customHeight="false" outlineLevel="0" collapsed="false">
      <c r="A148" s="9"/>
      <c r="B148" s="9"/>
      <c r="C148" s="9"/>
      <c r="D148" s="10" t="str">
        <f aca="false">IF(A148="","",IF(SUMPRODUCT(--EXACT('2 Assets'!$A$2:$A$201,A148))=0,"'From' is not an asset",IF(SUMPRODUCT(--EXACT('2 Assets'!$A$2:$A$201,C148))=0,"'To' is not an asset",IF(SUMPRODUCT(--EXACT('1 Relationship types'!$A$2:$A$201,B148))=0,"Relationship is not defined",IF(A148=C148,"An asset cannot relate to itself",IF(SUMPRODUCT(--EXACT($A$2:$A$201,A148),--EXACT($B$2:$B$201,B148),--EXACT($C$2:$C$201,C148))&gt;1,"Listed twice","ok"))))))</f>
        <v/>
      </c>
    </row>
    <row r="149" customFormat="false" ht="15" hidden="false" customHeight="false" outlineLevel="0" collapsed="false">
      <c r="A149" s="9"/>
      <c r="B149" s="9"/>
      <c r="C149" s="9"/>
      <c r="D149" s="10" t="str">
        <f aca="false">IF(A149="","",IF(SUMPRODUCT(--EXACT('2 Assets'!$A$2:$A$201,A149))=0,"'From' is not an asset",IF(SUMPRODUCT(--EXACT('2 Assets'!$A$2:$A$201,C149))=0,"'To' is not an asset",IF(SUMPRODUCT(--EXACT('1 Relationship types'!$A$2:$A$201,B149))=0,"Relationship is not defined",IF(A149=C149,"An asset cannot relate to itself",IF(SUMPRODUCT(--EXACT($A$2:$A$201,A149),--EXACT($B$2:$B$201,B149),--EXACT($C$2:$C$201,C149))&gt;1,"Listed twice","ok"))))))</f>
        <v/>
      </c>
    </row>
    <row r="150" customFormat="false" ht="15" hidden="false" customHeight="false" outlineLevel="0" collapsed="false">
      <c r="A150" s="9"/>
      <c r="B150" s="9"/>
      <c r="C150" s="9"/>
      <c r="D150" s="10" t="str">
        <f aca="false">IF(A150="","",IF(SUMPRODUCT(--EXACT('2 Assets'!$A$2:$A$201,A150))=0,"'From' is not an asset",IF(SUMPRODUCT(--EXACT('2 Assets'!$A$2:$A$201,C150))=0,"'To' is not an asset",IF(SUMPRODUCT(--EXACT('1 Relationship types'!$A$2:$A$201,B150))=0,"Relationship is not defined",IF(A150=C150,"An asset cannot relate to itself",IF(SUMPRODUCT(--EXACT($A$2:$A$201,A150),--EXACT($B$2:$B$201,B150),--EXACT($C$2:$C$201,C150))&gt;1,"Listed twice","ok"))))))</f>
        <v/>
      </c>
    </row>
    <row r="151" customFormat="false" ht="15" hidden="false" customHeight="false" outlineLevel="0" collapsed="false">
      <c r="A151" s="9"/>
      <c r="B151" s="9"/>
      <c r="C151" s="9"/>
      <c r="D151" s="10" t="str">
        <f aca="false">IF(A151="","",IF(SUMPRODUCT(--EXACT('2 Assets'!$A$2:$A$201,A151))=0,"'From' is not an asset",IF(SUMPRODUCT(--EXACT('2 Assets'!$A$2:$A$201,C151))=0,"'To' is not an asset",IF(SUMPRODUCT(--EXACT('1 Relationship types'!$A$2:$A$201,B151))=0,"Relationship is not defined",IF(A151=C151,"An asset cannot relate to itself",IF(SUMPRODUCT(--EXACT($A$2:$A$201,A151),--EXACT($B$2:$B$201,B151),--EXACT($C$2:$C$201,C151))&gt;1,"Listed twice","ok"))))))</f>
        <v/>
      </c>
    </row>
    <row r="152" customFormat="false" ht="15" hidden="false" customHeight="false" outlineLevel="0" collapsed="false">
      <c r="A152" s="9"/>
      <c r="B152" s="9"/>
      <c r="C152" s="9"/>
      <c r="D152" s="10" t="str">
        <f aca="false">IF(A152="","",IF(SUMPRODUCT(--EXACT('2 Assets'!$A$2:$A$201,A152))=0,"'From' is not an asset",IF(SUMPRODUCT(--EXACT('2 Assets'!$A$2:$A$201,C152))=0,"'To' is not an asset",IF(SUMPRODUCT(--EXACT('1 Relationship types'!$A$2:$A$201,B152))=0,"Relationship is not defined",IF(A152=C152,"An asset cannot relate to itself",IF(SUMPRODUCT(--EXACT($A$2:$A$201,A152),--EXACT($B$2:$B$201,B152),--EXACT($C$2:$C$201,C152))&gt;1,"Listed twice","ok"))))))</f>
        <v/>
      </c>
    </row>
    <row r="153" customFormat="false" ht="15" hidden="false" customHeight="false" outlineLevel="0" collapsed="false">
      <c r="A153" s="9"/>
      <c r="B153" s="9"/>
      <c r="C153" s="9"/>
      <c r="D153" s="10" t="str">
        <f aca="false">IF(A153="","",IF(SUMPRODUCT(--EXACT('2 Assets'!$A$2:$A$201,A153))=0,"'From' is not an asset",IF(SUMPRODUCT(--EXACT('2 Assets'!$A$2:$A$201,C153))=0,"'To' is not an asset",IF(SUMPRODUCT(--EXACT('1 Relationship types'!$A$2:$A$201,B153))=0,"Relationship is not defined",IF(A153=C153,"An asset cannot relate to itself",IF(SUMPRODUCT(--EXACT($A$2:$A$201,A153),--EXACT($B$2:$B$201,B153),--EXACT($C$2:$C$201,C153))&gt;1,"Listed twice","ok"))))))</f>
        <v/>
      </c>
    </row>
    <row r="154" customFormat="false" ht="15" hidden="false" customHeight="false" outlineLevel="0" collapsed="false">
      <c r="A154" s="9"/>
      <c r="B154" s="9"/>
      <c r="C154" s="9"/>
      <c r="D154" s="10" t="str">
        <f aca="false">IF(A154="","",IF(SUMPRODUCT(--EXACT('2 Assets'!$A$2:$A$201,A154))=0,"'From' is not an asset",IF(SUMPRODUCT(--EXACT('2 Assets'!$A$2:$A$201,C154))=0,"'To' is not an asset",IF(SUMPRODUCT(--EXACT('1 Relationship types'!$A$2:$A$201,B154))=0,"Relationship is not defined",IF(A154=C154,"An asset cannot relate to itself",IF(SUMPRODUCT(--EXACT($A$2:$A$201,A154),--EXACT($B$2:$B$201,B154),--EXACT($C$2:$C$201,C154))&gt;1,"Listed twice","ok"))))))</f>
        <v/>
      </c>
    </row>
    <row r="155" customFormat="false" ht="15" hidden="false" customHeight="false" outlineLevel="0" collapsed="false">
      <c r="A155" s="9"/>
      <c r="B155" s="9"/>
      <c r="C155" s="9"/>
      <c r="D155" s="10" t="str">
        <f aca="false">IF(A155="","",IF(SUMPRODUCT(--EXACT('2 Assets'!$A$2:$A$201,A155))=0,"'From' is not an asset",IF(SUMPRODUCT(--EXACT('2 Assets'!$A$2:$A$201,C155))=0,"'To' is not an asset",IF(SUMPRODUCT(--EXACT('1 Relationship types'!$A$2:$A$201,B155))=0,"Relationship is not defined",IF(A155=C155,"An asset cannot relate to itself",IF(SUMPRODUCT(--EXACT($A$2:$A$201,A155),--EXACT($B$2:$B$201,B155),--EXACT($C$2:$C$201,C155))&gt;1,"Listed twice","ok"))))))</f>
        <v/>
      </c>
    </row>
    <row r="156" customFormat="false" ht="15" hidden="false" customHeight="false" outlineLevel="0" collapsed="false">
      <c r="A156" s="9"/>
      <c r="B156" s="9"/>
      <c r="C156" s="9"/>
      <c r="D156" s="10" t="str">
        <f aca="false">IF(A156="","",IF(SUMPRODUCT(--EXACT('2 Assets'!$A$2:$A$201,A156))=0,"'From' is not an asset",IF(SUMPRODUCT(--EXACT('2 Assets'!$A$2:$A$201,C156))=0,"'To' is not an asset",IF(SUMPRODUCT(--EXACT('1 Relationship types'!$A$2:$A$201,B156))=0,"Relationship is not defined",IF(A156=C156,"An asset cannot relate to itself",IF(SUMPRODUCT(--EXACT($A$2:$A$201,A156),--EXACT($B$2:$B$201,B156),--EXACT($C$2:$C$201,C156))&gt;1,"Listed twice","ok"))))))</f>
        <v/>
      </c>
    </row>
    <row r="157" customFormat="false" ht="15" hidden="false" customHeight="false" outlineLevel="0" collapsed="false">
      <c r="A157" s="9"/>
      <c r="B157" s="9"/>
      <c r="C157" s="9"/>
      <c r="D157" s="10" t="str">
        <f aca="false">IF(A157="","",IF(SUMPRODUCT(--EXACT('2 Assets'!$A$2:$A$201,A157))=0,"'From' is not an asset",IF(SUMPRODUCT(--EXACT('2 Assets'!$A$2:$A$201,C157))=0,"'To' is not an asset",IF(SUMPRODUCT(--EXACT('1 Relationship types'!$A$2:$A$201,B157))=0,"Relationship is not defined",IF(A157=C157,"An asset cannot relate to itself",IF(SUMPRODUCT(--EXACT($A$2:$A$201,A157),--EXACT($B$2:$B$201,B157),--EXACT($C$2:$C$201,C157))&gt;1,"Listed twice","ok"))))))</f>
        <v/>
      </c>
    </row>
    <row r="158" customFormat="false" ht="15" hidden="false" customHeight="false" outlineLevel="0" collapsed="false">
      <c r="A158" s="9"/>
      <c r="B158" s="9"/>
      <c r="C158" s="9"/>
      <c r="D158" s="10" t="str">
        <f aca="false">IF(A158="","",IF(SUMPRODUCT(--EXACT('2 Assets'!$A$2:$A$201,A158))=0,"'From' is not an asset",IF(SUMPRODUCT(--EXACT('2 Assets'!$A$2:$A$201,C158))=0,"'To' is not an asset",IF(SUMPRODUCT(--EXACT('1 Relationship types'!$A$2:$A$201,B158))=0,"Relationship is not defined",IF(A158=C158,"An asset cannot relate to itself",IF(SUMPRODUCT(--EXACT($A$2:$A$201,A158),--EXACT($B$2:$B$201,B158),--EXACT($C$2:$C$201,C158))&gt;1,"Listed twice","ok"))))))</f>
        <v/>
      </c>
    </row>
    <row r="159" customFormat="false" ht="15" hidden="false" customHeight="false" outlineLevel="0" collapsed="false">
      <c r="A159" s="9"/>
      <c r="B159" s="9"/>
      <c r="C159" s="9"/>
      <c r="D159" s="10" t="str">
        <f aca="false">IF(A159="","",IF(SUMPRODUCT(--EXACT('2 Assets'!$A$2:$A$201,A159))=0,"'From' is not an asset",IF(SUMPRODUCT(--EXACT('2 Assets'!$A$2:$A$201,C159))=0,"'To' is not an asset",IF(SUMPRODUCT(--EXACT('1 Relationship types'!$A$2:$A$201,B159))=0,"Relationship is not defined",IF(A159=C159,"An asset cannot relate to itself",IF(SUMPRODUCT(--EXACT($A$2:$A$201,A159),--EXACT($B$2:$B$201,B159),--EXACT($C$2:$C$201,C159))&gt;1,"Listed twice","ok"))))))</f>
        <v/>
      </c>
    </row>
    <row r="160" customFormat="false" ht="15" hidden="false" customHeight="false" outlineLevel="0" collapsed="false">
      <c r="A160" s="9"/>
      <c r="B160" s="9"/>
      <c r="C160" s="9"/>
      <c r="D160" s="10" t="str">
        <f aca="false">IF(A160="","",IF(SUMPRODUCT(--EXACT('2 Assets'!$A$2:$A$201,A160))=0,"'From' is not an asset",IF(SUMPRODUCT(--EXACT('2 Assets'!$A$2:$A$201,C160))=0,"'To' is not an asset",IF(SUMPRODUCT(--EXACT('1 Relationship types'!$A$2:$A$201,B160))=0,"Relationship is not defined",IF(A160=C160,"An asset cannot relate to itself",IF(SUMPRODUCT(--EXACT($A$2:$A$201,A160),--EXACT($B$2:$B$201,B160),--EXACT($C$2:$C$201,C160))&gt;1,"Listed twice","ok"))))))</f>
        <v/>
      </c>
    </row>
    <row r="161" customFormat="false" ht="15" hidden="false" customHeight="false" outlineLevel="0" collapsed="false">
      <c r="A161" s="9"/>
      <c r="B161" s="9"/>
      <c r="C161" s="9"/>
      <c r="D161" s="10" t="str">
        <f aca="false">IF(A161="","",IF(SUMPRODUCT(--EXACT('2 Assets'!$A$2:$A$201,A161))=0,"'From' is not an asset",IF(SUMPRODUCT(--EXACT('2 Assets'!$A$2:$A$201,C161))=0,"'To' is not an asset",IF(SUMPRODUCT(--EXACT('1 Relationship types'!$A$2:$A$201,B161))=0,"Relationship is not defined",IF(A161=C161,"An asset cannot relate to itself",IF(SUMPRODUCT(--EXACT($A$2:$A$201,A161),--EXACT($B$2:$B$201,B161),--EXACT($C$2:$C$201,C161))&gt;1,"Listed twice","ok"))))))</f>
        <v/>
      </c>
    </row>
    <row r="162" customFormat="false" ht="15" hidden="false" customHeight="false" outlineLevel="0" collapsed="false">
      <c r="A162" s="9"/>
      <c r="B162" s="9"/>
      <c r="C162" s="9"/>
      <c r="D162" s="10" t="str">
        <f aca="false">IF(A162="","",IF(SUMPRODUCT(--EXACT('2 Assets'!$A$2:$A$201,A162))=0,"'From' is not an asset",IF(SUMPRODUCT(--EXACT('2 Assets'!$A$2:$A$201,C162))=0,"'To' is not an asset",IF(SUMPRODUCT(--EXACT('1 Relationship types'!$A$2:$A$201,B162))=0,"Relationship is not defined",IF(A162=C162,"An asset cannot relate to itself",IF(SUMPRODUCT(--EXACT($A$2:$A$201,A162),--EXACT($B$2:$B$201,B162),--EXACT($C$2:$C$201,C162))&gt;1,"Listed twice","ok"))))))</f>
        <v/>
      </c>
    </row>
    <row r="163" customFormat="false" ht="15" hidden="false" customHeight="false" outlineLevel="0" collapsed="false">
      <c r="A163" s="9"/>
      <c r="B163" s="9"/>
      <c r="C163" s="9"/>
      <c r="D163" s="10" t="str">
        <f aca="false">IF(A163="","",IF(SUMPRODUCT(--EXACT('2 Assets'!$A$2:$A$201,A163))=0,"'From' is not an asset",IF(SUMPRODUCT(--EXACT('2 Assets'!$A$2:$A$201,C163))=0,"'To' is not an asset",IF(SUMPRODUCT(--EXACT('1 Relationship types'!$A$2:$A$201,B163))=0,"Relationship is not defined",IF(A163=C163,"An asset cannot relate to itself",IF(SUMPRODUCT(--EXACT($A$2:$A$201,A163),--EXACT($B$2:$B$201,B163),--EXACT($C$2:$C$201,C163))&gt;1,"Listed twice","ok"))))))</f>
        <v/>
      </c>
    </row>
    <row r="164" customFormat="false" ht="15" hidden="false" customHeight="false" outlineLevel="0" collapsed="false">
      <c r="A164" s="9"/>
      <c r="B164" s="9"/>
      <c r="C164" s="9"/>
      <c r="D164" s="10" t="str">
        <f aca="false">IF(A164="","",IF(SUMPRODUCT(--EXACT('2 Assets'!$A$2:$A$201,A164))=0,"'From' is not an asset",IF(SUMPRODUCT(--EXACT('2 Assets'!$A$2:$A$201,C164))=0,"'To' is not an asset",IF(SUMPRODUCT(--EXACT('1 Relationship types'!$A$2:$A$201,B164))=0,"Relationship is not defined",IF(A164=C164,"An asset cannot relate to itself",IF(SUMPRODUCT(--EXACT($A$2:$A$201,A164),--EXACT($B$2:$B$201,B164),--EXACT($C$2:$C$201,C164))&gt;1,"Listed twice","ok"))))))</f>
        <v/>
      </c>
    </row>
    <row r="165" customFormat="false" ht="15" hidden="false" customHeight="false" outlineLevel="0" collapsed="false">
      <c r="A165" s="9"/>
      <c r="B165" s="9"/>
      <c r="C165" s="9"/>
      <c r="D165" s="10" t="str">
        <f aca="false">IF(A165="","",IF(SUMPRODUCT(--EXACT('2 Assets'!$A$2:$A$201,A165))=0,"'From' is not an asset",IF(SUMPRODUCT(--EXACT('2 Assets'!$A$2:$A$201,C165))=0,"'To' is not an asset",IF(SUMPRODUCT(--EXACT('1 Relationship types'!$A$2:$A$201,B165))=0,"Relationship is not defined",IF(A165=C165,"An asset cannot relate to itself",IF(SUMPRODUCT(--EXACT($A$2:$A$201,A165),--EXACT($B$2:$B$201,B165),--EXACT($C$2:$C$201,C165))&gt;1,"Listed twice","ok"))))))</f>
        <v/>
      </c>
    </row>
    <row r="166" customFormat="false" ht="15" hidden="false" customHeight="false" outlineLevel="0" collapsed="false">
      <c r="A166" s="9"/>
      <c r="B166" s="9"/>
      <c r="C166" s="9"/>
      <c r="D166" s="10" t="str">
        <f aca="false">IF(A166="","",IF(SUMPRODUCT(--EXACT('2 Assets'!$A$2:$A$201,A166))=0,"'From' is not an asset",IF(SUMPRODUCT(--EXACT('2 Assets'!$A$2:$A$201,C166))=0,"'To' is not an asset",IF(SUMPRODUCT(--EXACT('1 Relationship types'!$A$2:$A$201,B166))=0,"Relationship is not defined",IF(A166=C166,"An asset cannot relate to itself",IF(SUMPRODUCT(--EXACT($A$2:$A$201,A166),--EXACT($B$2:$B$201,B166),--EXACT($C$2:$C$201,C166))&gt;1,"Listed twice","ok"))))))</f>
        <v/>
      </c>
    </row>
    <row r="167" customFormat="false" ht="15" hidden="false" customHeight="false" outlineLevel="0" collapsed="false">
      <c r="A167" s="9"/>
      <c r="B167" s="9"/>
      <c r="C167" s="9"/>
      <c r="D167" s="10" t="str">
        <f aca="false">IF(A167="","",IF(SUMPRODUCT(--EXACT('2 Assets'!$A$2:$A$201,A167))=0,"'From' is not an asset",IF(SUMPRODUCT(--EXACT('2 Assets'!$A$2:$A$201,C167))=0,"'To' is not an asset",IF(SUMPRODUCT(--EXACT('1 Relationship types'!$A$2:$A$201,B167))=0,"Relationship is not defined",IF(A167=C167,"An asset cannot relate to itself",IF(SUMPRODUCT(--EXACT($A$2:$A$201,A167),--EXACT($B$2:$B$201,B167),--EXACT($C$2:$C$201,C167))&gt;1,"Listed twice","ok"))))))</f>
        <v/>
      </c>
    </row>
    <row r="168" customFormat="false" ht="15" hidden="false" customHeight="false" outlineLevel="0" collapsed="false">
      <c r="A168" s="9"/>
      <c r="B168" s="9"/>
      <c r="C168" s="9"/>
      <c r="D168" s="10" t="str">
        <f aca="false">IF(A168="","",IF(SUMPRODUCT(--EXACT('2 Assets'!$A$2:$A$201,A168))=0,"'From' is not an asset",IF(SUMPRODUCT(--EXACT('2 Assets'!$A$2:$A$201,C168))=0,"'To' is not an asset",IF(SUMPRODUCT(--EXACT('1 Relationship types'!$A$2:$A$201,B168))=0,"Relationship is not defined",IF(A168=C168,"An asset cannot relate to itself",IF(SUMPRODUCT(--EXACT($A$2:$A$201,A168),--EXACT($B$2:$B$201,B168),--EXACT($C$2:$C$201,C168))&gt;1,"Listed twice","ok"))))))</f>
        <v/>
      </c>
    </row>
    <row r="169" customFormat="false" ht="15" hidden="false" customHeight="false" outlineLevel="0" collapsed="false">
      <c r="A169" s="9"/>
      <c r="B169" s="9"/>
      <c r="C169" s="9"/>
      <c r="D169" s="10" t="str">
        <f aca="false">IF(A169="","",IF(SUMPRODUCT(--EXACT('2 Assets'!$A$2:$A$201,A169))=0,"'From' is not an asset",IF(SUMPRODUCT(--EXACT('2 Assets'!$A$2:$A$201,C169))=0,"'To' is not an asset",IF(SUMPRODUCT(--EXACT('1 Relationship types'!$A$2:$A$201,B169))=0,"Relationship is not defined",IF(A169=C169,"An asset cannot relate to itself",IF(SUMPRODUCT(--EXACT($A$2:$A$201,A169),--EXACT($B$2:$B$201,B169),--EXACT($C$2:$C$201,C169))&gt;1,"Listed twice","ok"))))))</f>
        <v/>
      </c>
    </row>
    <row r="170" customFormat="false" ht="15" hidden="false" customHeight="false" outlineLevel="0" collapsed="false">
      <c r="A170" s="9"/>
      <c r="B170" s="9"/>
      <c r="C170" s="9"/>
      <c r="D170" s="10" t="str">
        <f aca="false">IF(A170="","",IF(SUMPRODUCT(--EXACT('2 Assets'!$A$2:$A$201,A170))=0,"'From' is not an asset",IF(SUMPRODUCT(--EXACT('2 Assets'!$A$2:$A$201,C170))=0,"'To' is not an asset",IF(SUMPRODUCT(--EXACT('1 Relationship types'!$A$2:$A$201,B170))=0,"Relationship is not defined",IF(A170=C170,"An asset cannot relate to itself",IF(SUMPRODUCT(--EXACT($A$2:$A$201,A170),--EXACT($B$2:$B$201,B170),--EXACT($C$2:$C$201,C170))&gt;1,"Listed twice","ok"))))))</f>
        <v/>
      </c>
    </row>
    <row r="171" customFormat="false" ht="15" hidden="false" customHeight="false" outlineLevel="0" collapsed="false">
      <c r="A171" s="9"/>
      <c r="B171" s="9"/>
      <c r="C171" s="9"/>
      <c r="D171" s="10" t="str">
        <f aca="false">IF(A171="","",IF(SUMPRODUCT(--EXACT('2 Assets'!$A$2:$A$201,A171))=0,"'From' is not an asset",IF(SUMPRODUCT(--EXACT('2 Assets'!$A$2:$A$201,C171))=0,"'To' is not an asset",IF(SUMPRODUCT(--EXACT('1 Relationship types'!$A$2:$A$201,B171))=0,"Relationship is not defined",IF(A171=C171,"An asset cannot relate to itself",IF(SUMPRODUCT(--EXACT($A$2:$A$201,A171),--EXACT($B$2:$B$201,B171),--EXACT($C$2:$C$201,C171))&gt;1,"Listed twice","ok"))))))</f>
        <v/>
      </c>
    </row>
    <row r="172" customFormat="false" ht="15" hidden="false" customHeight="false" outlineLevel="0" collapsed="false">
      <c r="A172" s="9"/>
      <c r="B172" s="9"/>
      <c r="C172" s="9"/>
      <c r="D172" s="10" t="str">
        <f aca="false">IF(A172="","",IF(SUMPRODUCT(--EXACT('2 Assets'!$A$2:$A$201,A172))=0,"'From' is not an asset",IF(SUMPRODUCT(--EXACT('2 Assets'!$A$2:$A$201,C172))=0,"'To' is not an asset",IF(SUMPRODUCT(--EXACT('1 Relationship types'!$A$2:$A$201,B172))=0,"Relationship is not defined",IF(A172=C172,"An asset cannot relate to itself",IF(SUMPRODUCT(--EXACT($A$2:$A$201,A172),--EXACT($B$2:$B$201,B172),--EXACT($C$2:$C$201,C172))&gt;1,"Listed twice","ok"))))))</f>
        <v/>
      </c>
    </row>
    <row r="173" customFormat="false" ht="15" hidden="false" customHeight="false" outlineLevel="0" collapsed="false">
      <c r="A173" s="9"/>
      <c r="B173" s="9"/>
      <c r="C173" s="9"/>
      <c r="D173" s="10" t="str">
        <f aca="false">IF(A173="","",IF(SUMPRODUCT(--EXACT('2 Assets'!$A$2:$A$201,A173))=0,"'From' is not an asset",IF(SUMPRODUCT(--EXACT('2 Assets'!$A$2:$A$201,C173))=0,"'To' is not an asset",IF(SUMPRODUCT(--EXACT('1 Relationship types'!$A$2:$A$201,B173))=0,"Relationship is not defined",IF(A173=C173,"An asset cannot relate to itself",IF(SUMPRODUCT(--EXACT($A$2:$A$201,A173),--EXACT($B$2:$B$201,B173),--EXACT($C$2:$C$201,C173))&gt;1,"Listed twice","ok"))))))</f>
        <v/>
      </c>
    </row>
    <row r="174" customFormat="false" ht="15" hidden="false" customHeight="false" outlineLevel="0" collapsed="false">
      <c r="A174" s="9"/>
      <c r="B174" s="9"/>
      <c r="C174" s="9"/>
      <c r="D174" s="10" t="str">
        <f aca="false">IF(A174="","",IF(SUMPRODUCT(--EXACT('2 Assets'!$A$2:$A$201,A174))=0,"'From' is not an asset",IF(SUMPRODUCT(--EXACT('2 Assets'!$A$2:$A$201,C174))=0,"'To' is not an asset",IF(SUMPRODUCT(--EXACT('1 Relationship types'!$A$2:$A$201,B174))=0,"Relationship is not defined",IF(A174=C174,"An asset cannot relate to itself",IF(SUMPRODUCT(--EXACT($A$2:$A$201,A174),--EXACT($B$2:$B$201,B174),--EXACT($C$2:$C$201,C174))&gt;1,"Listed twice","ok"))))))</f>
        <v/>
      </c>
    </row>
    <row r="175" customFormat="false" ht="15" hidden="false" customHeight="false" outlineLevel="0" collapsed="false">
      <c r="A175" s="9"/>
      <c r="B175" s="9"/>
      <c r="C175" s="9"/>
      <c r="D175" s="10" t="str">
        <f aca="false">IF(A175="","",IF(SUMPRODUCT(--EXACT('2 Assets'!$A$2:$A$201,A175))=0,"'From' is not an asset",IF(SUMPRODUCT(--EXACT('2 Assets'!$A$2:$A$201,C175))=0,"'To' is not an asset",IF(SUMPRODUCT(--EXACT('1 Relationship types'!$A$2:$A$201,B175))=0,"Relationship is not defined",IF(A175=C175,"An asset cannot relate to itself",IF(SUMPRODUCT(--EXACT($A$2:$A$201,A175),--EXACT($B$2:$B$201,B175),--EXACT($C$2:$C$201,C175))&gt;1,"Listed twice","ok"))))))</f>
        <v/>
      </c>
    </row>
    <row r="176" customFormat="false" ht="15" hidden="false" customHeight="false" outlineLevel="0" collapsed="false">
      <c r="A176" s="9"/>
      <c r="B176" s="9"/>
      <c r="C176" s="9"/>
      <c r="D176" s="10" t="str">
        <f aca="false">IF(A176="","",IF(SUMPRODUCT(--EXACT('2 Assets'!$A$2:$A$201,A176))=0,"'From' is not an asset",IF(SUMPRODUCT(--EXACT('2 Assets'!$A$2:$A$201,C176))=0,"'To' is not an asset",IF(SUMPRODUCT(--EXACT('1 Relationship types'!$A$2:$A$201,B176))=0,"Relationship is not defined",IF(A176=C176,"An asset cannot relate to itself",IF(SUMPRODUCT(--EXACT($A$2:$A$201,A176),--EXACT($B$2:$B$201,B176),--EXACT($C$2:$C$201,C176))&gt;1,"Listed twice","ok"))))))</f>
        <v/>
      </c>
    </row>
    <row r="177" customFormat="false" ht="15" hidden="false" customHeight="false" outlineLevel="0" collapsed="false">
      <c r="A177" s="9"/>
      <c r="B177" s="9"/>
      <c r="C177" s="9"/>
      <c r="D177" s="10" t="str">
        <f aca="false">IF(A177="","",IF(SUMPRODUCT(--EXACT('2 Assets'!$A$2:$A$201,A177))=0,"'From' is not an asset",IF(SUMPRODUCT(--EXACT('2 Assets'!$A$2:$A$201,C177))=0,"'To' is not an asset",IF(SUMPRODUCT(--EXACT('1 Relationship types'!$A$2:$A$201,B177))=0,"Relationship is not defined",IF(A177=C177,"An asset cannot relate to itself",IF(SUMPRODUCT(--EXACT($A$2:$A$201,A177),--EXACT($B$2:$B$201,B177),--EXACT($C$2:$C$201,C177))&gt;1,"Listed twice","ok"))))))</f>
        <v/>
      </c>
    </row>
    <row r="178" customFormat="false" ht="15" hidden="false" customHeight="false" outlineLevel="0" collapsed="false">
      <c r="A178" s="9"/>
      <c r="B178" s="9"/>
      <c r="C178" s="9"/>
      <c r="D178" s="10" t="str">
        <f aca="false">IF(A178="","",IF(SUMPRODUCT(--EXACT('2 Assets'!$A$2:$A$201,A178))=0,"'From' is not an asset",IF(SUMPRODUCT(--EXACT('2 Assets'!$A$2:$A$201,C178))=0,"'To' is not an asset",IF(SUMPRODUCT(--EXACT('1 Relationship types'!$A$2:$A$201,B178))=0,"Relationship is not defined",IF(A178=C178,"An asset cannot relate to itself",IF(SUMPRODUCT(--EXACT($A$2:$A$201,A178),--EXACT($B$2:$B$201,B178),--EXACT($C$2:$C$201,C178))&gt;1,"Listed twice","ok"))))))</f>
        <v/>
      </c>
    </row>
    <row r="179" customFormat="false" ht="15" hidden="false" customHeight="false" outlineLevel="0" collapsed="false">
      <c r="A179" s="9"/>
      <c r="B179" s="9"/>
      <c r="C179" s="9"/>
      <c r="D179" s="10" t="str">
        <f aca="false">IF(A179="","",IF(SUMPRODUCT(--EXACT('2 Assets'!$A$2:$A$201,A179))=0,"'From' is not an asset",IF(SUMPRODUCT(--EXACT('2 Assets'!$A$2:$A$201,C179))=0,"'To' is not an asset",IF(SUMPRODUCT(--EXACT('1 Relationship types'!$A$2:$A$201,B179))=0,"Relationship is not defined",IF(A179=C179,"An asset cannot relate to itself",IF(SUMPRODUCT(--EXACT($A$2:$A$201,A179),--EXACT($B$2:$B$201,B179),--EXACT($C$2:$C$201,C179))&gt;1,"Listed twice","ok"))))))</f>
        <v/>
      </c>
    </row>
    <row r="180" customFormat="false" ht="15" hidden="false" customHeight="false" outlineLevel="0" collapsed="false">
      <c r="A180" s="9"/>
      <c r="B180" s="9"/>
      <c r="C180" s="9"/>
      <c r="D180" s="10" t="str">
        <f aca="false">IF(A180="","",IF(SUMPRODUCT(--EXACT('2 Assets'!$A$2:$A$201,A180))=0,"'From' is not an asset",IF(SUMPRODUCT(--EXACT('2 Assets'!$A$2:$A$201,C180))=0,"'To' is not an asset",IF(SUMPRODUCT(--EXACT('1 Relationship types'!$A$2:$A$201,B180))=0,"Relationship is not defined",IF(A180=C180,"An asset cannot relate to itself",IF(SUMPRODUCT(--EXACT($A$2:$A$201,A180),--EXACT($B$2:$B$201,B180),--EXACT($C$2:$C$201,C180))&gt;1,"Listed twice","ok"))))))</f>
        <v/>
      </c>
    </row>
    <row r="181" customFormat="false" ht="15" hidden="false" customHeight="false" outlineLevel="0" collapsed="false">
      <c r="A181" s="9"/>
      <c r="B181" s="9"/>
      <c r="C181" s="9"/>
      <c r="D181" s="10" t="str">
        <f aca="false">IF(A181="","",IF(SUMPRODUCT(--EXACT('2 Assets'!$A$2:$A$201,A181))=0,"'From' is not an asset",IF(SUMPRODUCT(--EXACT('2 Assets'!$A$2:$A$201,C181))=0,"'To' is not an asset",IF(SUMPRODUCT(--EXACT('1 Relationship types'!$A$2:$A$201,B181))=0,"Relationship is not defined",IF(A181=C181,"An asset cannot relate to itself",IF(SUMPRODUCT(--EXACT($A$2:$A$201,A181),--EXACT($B$2:$B$201,B181),--EXACT($C$2:$C$201,C181))&gt;1,"Listed twice","ok"))))))</f>
        <v/>
      </c>
    </row>
    <row r="182" customFormat="false" ht="15" hidden="false" customHeight="false" outlineLevel="0" collapsed="false">
      <c r="A182" s="9"/>
      <c r="B182" s="9"/>
      <c r="C182" s="9"/>
      <c r="D182" s="10" t="str">
        <f aca="false">IF(A182="","",IF(SUMPRODUCT(--EXACT('2 Assets'!$A$2:$A$201,A182))=0,"'From' is not an asset",IF(SUMPRODUCT(--EXACT('2 Assets'!$A$2:$A$201,C182))=0,"'To' is not an asset",IF(SUMPRODUCT(--EXACT('1 Relationship types'!$A$2:$A$201,B182))=0,"Relationship is not defined",IF(A182=C182,"An asset cannot relate to itself",IF(SUMPRODUCT(--EXACT($A$2:$A$201,A182),--EXACT($B$2:$B$201,B182),--EXACT($C$2:$C$201,C182))&gt;1,"Listed twice","ok"))))))</f>
        <v/>
      </c>
    </row>
    <row r="183" customFormat="false" ht="15" hidden="false" customHeight="false" outlineLevel="0" collapsed="false">
      <c r="A183" s="9"/>
      <c r="B183" s="9"/>
      <c r="C183" s="9"/>
      <c r="D183" s="10" t="str">
        <f aca="false">IF(A183="","",IF(SUMPRODUCT(--EXACT('2 Assets'!$A$2:$A$201,A183))=0,"'From' is not an asset",IF(SUMPRODUCT(--EXACT('2 Assets'!$A$2:$A$201,C183))=0,"'To' is not an asset",IF(SUMPRODUCT(--EXACT('1 Relationship types'!$A$2:$A$201,B183))=0,"Relationship is not defined",IF(A183=C183,"An asset cannot relate to itself",IF(SUMPRODUCT(--EXACT($A$2:$A$201,A183),--EXACT($B$2:$B$201,B183),--EXACT($C$2:$C$201,C183))&gt;1,"Listed twice","ok"))))))</f>
        <v/>
      </c>
    </row>
    <row r="184" customFormat="false" ht="15" hidden="false" customHeight="false" outlineLevel="0" collapsed="false">
      <c r="A184" s="9"/>
      <c r="B184" s="9"/>
      <c r="C184" s="9"/>
      <c r="D184" s="10" t="str">
        <f aca="false">IF(A184="","",IF(SUMPRODUCT(--EXACT('2 Assets'!$A$2:$A$201,A184))=0,"'From' is not an asset",IF(SUMPRODUCT(--EXACT('2 Assets'!$A$2:$A$201,C184))=0,"'To' is not an asset",IF(SUMPRODUCT(--EXACT('1 Relationship types'!$A$2:$A$201,B184))=0,"Relationship is not defined",IF(A184=C184,"An asset cannot relate to itself",IF(SUMPRODUCT(--EXACT($A$2:$A$201,A184),--EXACT($B$2:$B$201,B184),--EXACT($C$2:$C$201,C184))&gt;1,"Listed twice","ok"))))))</f>
        <v/>
      </c>
    </row>
    <row r="185" customFormat="false" ht="15" hidden="false" customHeight="false" outlineLevel="0" collapsed="false">
      <c r="A185" s="9"/>
      <c r="B185" s="9"/>
      <c r="C185" s="9"/>
      <c r="D185" s="10" t="str">
        <f aca="false">IF(A185="","",IF(SUMPRODUCT(--EXACT('2 Assets'!$A$2:$A$201,A185))=0,"'From' is not an asset",IF(SUMPRODUCT(--EXACT('2 Assets'!$A$2:$A$201,C185))=0,"'To' is not an asset",IF(SUMPRODUCT(--EXACT('1 Relationship types'!$A$2:$A$201,B185))=0,"Relationship is not defined",IF(A185=C185,"An asset cannot relate to itself",IF(SUMPRODUCT(--EXACT($A$2:$A$201,A185),--EXACT($B$2:$B$201,B185),--EXACT($C$2:$C$201,C185))&gt;1,"Listed twice","ok"))))))</f>
        <v/>
      </c>
    </row>
    <row r="186" customFormat="false" ht="15" hidden="false" customHeight="false" outlineLevel="0" collapsed="false">
      <c r="A186" s="9"/>
      <c r="B186" s="9"/>
      <c r="C186" s="9"/>
      <c r="D186" s="10" t="str">
        <f aca="false">IF(A186="","",IF(SUMPRODUCT(--EXACT('2 Assets'!$A$2:$A$201,A186))=0,"'From' is not an asset",IF(SUMPRODUCT(--EXACT('2 Assets'!$A$2:$A$201,C186))=0,"'To' is not an asset",IF(SUMPRODUCT(--EXACT('1 Relationship types'!$A$2:$A$201,B186))=0,"Relationship is not defined",IF(A186=C186,"An asset cannot relate to itself",IF(SUMPRODUCT(--EXACT($A$2:$A$201,A186),--EXACT($B$2:$B$201,B186),--EXACT($C$2:$C$201,C186))&gt;1,"Listed twice","ok"))))))</f>
        <v/>
      </c>
    </row>
    <row r="187" customFormat="false" ht="15" hidden="false" customHeight="false" outlineLevel="0" collapsed="false">
      <c r="A187" s="9"/>
      <c r="B187" s="9"/>
      <c r="C187" s="9"/>
      <c r="D187" s="10" t="str">
        <f aca="false">IF(A187="","",IF(SUMPRODUCT(--EXACT('2 Assets'!$A$2:$A$201,A187))=0,"'From' is not an asset",IF(SUMPRODUCT(--EXACT('2 Assets'!$A$2:$A$201,C187))=0,"'To' is not an asset",IF(SUMPRODUCT(--EXACT('1 Relationship types'!$A$2:$A$201,B187))=0,"Relationship is not defined",IF(A187=C187,"An asset cannot relate to itself",IF(SUMPRODUCT(--EXACT($A$2:$A$201,A187),--EXACT($B$2:$B$201,B187),--EXACT($C$2:$C$201,C187))&gt;1,"Listed twice","ok"))))))</f>
        <v/>
      </c>
    </row>
    <row r="188" customFormat="false" ht="15" hidden="false" customHeight="false" outlineLevel="0" collapsed="false">
      <c r="A188" s="9"/>
      <c r="B188" s="9"/>
      <c r="C188" s="9"/>
      <c r="D188" s="10" t="str">
        <f aca="false">IF(A188="","",IF(SUMPRODUCT(--EXACT('2 Assets'!$A$2:$A$201,A188))=0,"'From' is not an asset",IF(SUMPRODUCT(--EXACT('2 Assets'!$A$2:$A$201,C188))=0,"'To' is not an asset",IF(SUMPRODUCT(--EXACT('1 Relationship types'!$A$2:$A$201,B188))=0,"Relationship is not defined",IF(A188=C188,"An asset cannot relate to itself",IF(SUMPRODUCT(--EXACT($A$2:$A$201,A188),--EXACT($B$2:$B$201,B188),--EXACT($C$2:$C$201,C188))&gt;1,"Listed twice","ok"))))))</f>
        <v/>
      </c>
    </row>
    <row r="189" customFormat="false" ht="15" hidden="false" customHeight="false" outlineLevel="0" collapsed="false">
      <c r="A189" s="9"/>
      <c r="B189" s="9"/>
      <c r="C189" s="9"/>
      <c r="D189" s="10" t="str">
        <f aca="false">IF(A189="","",IF(SUMPRODUCT(--EXACT('2 Assets'!$A$2:$A$201,A189))=0,"'From' is not an asset",IF(SUMPRODUCT(--EXACT('2 Assets'!$A$2:$A$201,C189))=0,"'To' is not an asset",IF(SUMPRODUCT(--EXACT('1 Relationship types'!$A$2:$A$201,B189))=0,"Relationship is not defined",IF(A189=C189,"An asset cannot relate to itself",IF(SUMPRODUCT(--EXACT($A$2:$A$201,A189),--EXACT($B$2:$B$201,B189),--EXACT($C$2:$C$201,C189))&gt;1,"Listed twice","ok"))))))</f>
        <v/>
      </c>
    </row>
    <row r="190" customFormat="false" ht="15" hidden="false" customHeight="false" outlineLevel="0" collapsed="false">
      <c r="A190" s="9"/>
      <c r="B190" s="9"/>
      <c r="C190" s="9"/>
      <c r="D190" s="10" t="str">
        <f aca="false">IF(A190="","",IF(SUMPRODUCT(--EXACT('2 Assets'!$A$2:$A$201,A190))=0,"'From' is not an asset",IF(SUMPRODUCT(--EXACT('2 Assets'!$A$2:$A$201,C190))=0,"'To' is not an asset",IF(SUMPRODUCT(--EXACT('1 Relationship types'!$A$2:$A$201,B190))=0,"Relationship is not defined",IF(A190=C190,"An asset cannot relate to itself",IF(SUMPRODUCT(--EXACT($A$2:$A$201,A190),--EXACT($B$2:$B$201,B190),--EXACT($C$2:$C$201,C190))&gt;1,"Listed twice","ok"))))))</f>
        <v/>
      </c>
    </row>
    <row r="191" customFormat="false" ht="15" hidden="false" customHeight="false" outlineLevel="0" collapsed="false">
      <c r="A191" s="9"/>
      <c r="B191" s="9"/>
      <c r="C191" s="9"/>
      <c r="D191" s="10" t="str">
        <f aca="false">IF(A191="","",IF(SUMPRODUCT(--EXACT('2 Assets'!$A$2:$A$201,A191))=0,"'From' is not an asset",IF(SUMPRODUCT(--EXACT('2 Assets'!$A$2:$A$201,C191))=0,"'To' is not an asset",IF(SUMPRODUCT(--EXACT('1 Relationship types'!$A$2:$A$201,B191))=0,"Relationship is not defined",IF(A191=C191,"An asset cannot relate to itself",IF(SUMPRODUCT(--EXACT($A$2:$A$201,A191),--EXACT($B$2:$B$201,B191),--EXACT($C$2:$C$201,C191))&gt;1,"Listed twice","ok"))))))</f>
        <v/>
      </c>
    </row>
    <row r="192" customFormat="false" ht="15" hidden="false" customHeight="false" outlineLevel="0" collapsed="false">
      <c r="A192" s="9"/>
      <c r="B192" s="9"/>
      <c r="C192" s="9"/>
      <c r="D192" s="10" t="str">
        <f aca="false">IF(A192="","",IF(SUMPRODUCT(--EXACT('2 Assets'!$A$2:$A$201,A192))=0,"'From' is not an asset",IF(SUMPRODUCT(--EXACT('2 Assets'!$A$2:$A$201,C192))=0,"'To' is not an asset",IF(SUMPRODUCT(--EXACT('1 Relationship types'!$A$2:$A$201,B192))=0,"Relationship is not defined",IF(A192=C192,"An asset cannot relate to itself",IF(SUMPRODUCT(--EXACT($A$2:$A$201,A192),--EXACT($B$2:$B$201,B192),--EXACT($C$2:$C$201,C192))&gt;1,"Listed twice","ok"))))))</f>
        <v/>
      </c>
    </row>
    <row r="193" customFormat="false" ht="15" hidden="false" customHeight="false" outlineLevel="0" collapsed="false">
      <c r="A193" s="9"/>
      <c r="B193" s="9"/>
      <c r="C193" s="9"/>
      <c r="D193" s="10" t="str">
        <f aca="false">IF(A193="","",IF(SUMPRODUCT(--EXACT('2 Assets'!$A$2:$A$201,A193))=0,"'From' is not an asset",IF(SUMPRODUCT(--EXACT('2 Assets'!$A$2:$A$201,C193))=0,"'To' is not an asset",IF(SUMPRODUCT(--EXACT('1 Relationship types'!$A$2:$A$201,B193))=0,"Relationship is not defined",IF(A193=C193,"An asset cannot relate to itself",IF(SUMPRODUCT(--EXACT($A$2:$A$201,A193),--EXACT($B$2:$B$201,B193),--EXACT($C$2:$C$201,C193))&gt;1,"Listed twice","ok"))))))</f>
        <v/>
      </c>
    </row>
    <row r="194" customFormat="false" ht="15" hidden="false" customHeight="false" outlineLevel="0" collapsed="false">
      <c r="A194" s="9"/>
      <c r="B194" s="9"/>
      <c r="C194" s="9"/>
      <c r="D194" s="10" t="str">
        <f aca="false">IF(A194="","",IF(SUMPRODUCT(--EXACT('2 Assets'!$A$2:$A$201,A194))=0,"'From' is not an asset",IF(SUMPRODUCT(--EXACT('2 Assets'!$A$2:$A$201,C194))=0,"'To' is not an asset",IF(SUMPRODUCT(--EXACT('1 Relationship types'!$A$2:$A$201,B194))=0,"Relationship is not defined",IF(A194=C194,"An asset cannot relate to itself",IF(SUMPRODUCT(--EXACT($A$2:$A$201,A194),--EXACT($B$2:$B$201,B194),--EXACT($C$2:$C$201,C194))&gt;1,"Listed twice","ok"))))))</f>
        <v/>
      </c>
    </row>
    <row r="195" customFormat="false" ht="15" hidden="false" customHeight="false" outlineLevel="0" collapsed="false">
      <c r="A195" s="9"/>
      <c r="B195" s="9"/>
      <c r="C195" s="9"/>
      <c r="D195" s="10" t="str">
        <f aca="false">IF(A195="","",IF(SUMPRODUCT(--EXACT('2 Assets'!$A$2:$A$201,A195))=0,"'From' is not an asset",IF(SUMPRODUCT(--EXACT('2 Assets'!$A$2:$A$201,C195))=0,"'To' is not an asset",IF(SUMPRODUCT(--EXACT('1 Relationship types'!$A$2:$A$201,B195))=0,"Relationship is not defined",IF(A195=C195,"An asset cannot relate to itself",IF(SUMPRODUCT(--EXACT($A$2:$A$201,A195),--EXACT($B$2:$B$201,B195),--EXACT($C$2:$C$201,C195))&gt;1,"Listed twice","ok"))))))</f>
        <v/>
      </c>
    </row>
    <row r="196" customFormat="false" ht="15" hidden="false" customHeight="false" outlineLevel="0" collapsed="false">
      <c r="A196" s="9"/>
      <c r="B196" s="9"/>
      <c r="C196" s="9"/>
      <c r="D196" s="10" t="str">
        <f aca="false">IF(A196="","",IF(SUMPRODUCT(--EXACT('2 Assets'!$A$2:$A$201,A196))=0,"'From' is not an asset",IF(SUMPRODUCT(--EXACT('2 Assets'!$A$2:$A$201,C196))=0,"'To' is not an asset",IF(SUMPRODUCT(--EXACT('1 Relationship types'!$A$2:$A$201,B196))=0,"Relationship is not defined",IF(A196=C196,"An asset cannot relate to itself",IF(SUMPRODUCT(--EXACT($A$2:$A$201,A196),--EXACT($B$2:$B$201,B196),--EXACT($C$2:$C$201,C196))&gt;1,"Listed twice","ok"))))))</f>
        <v/>
      </c>
    </row>
    <row r="197" customFormat="false" ht="15" hidden="false" customHeight="false" outlineLevel="0" collapsed="false">
      <c r="A197" s="9"/>
      <c r="B197" s="9"/>
      <c r="C197" s="9"/>
      <c r="D197" s="10" t="str">
        <f aca="false">IF(A197="","",IF(SUMPRODUCT(--EXACT('2 Assets'!$A$2:$A$201,A197))=0,"'From' is not an asset",IF(SUMPRODUCT(--EXACT('2 Assets'!$A$2:$A$201,C197))=0,"'To' is not an asset",IF(SUMPRODUCT(--EXACT('1 Relationship types'!$A$2:$A$201,B197))=0,"Relationship is not defined",IF(A197=C197,"An asset cannot relate to itself",IF(SUMPRODUCT(--EXACT($A$2:$A$201,A197),--EXACT($B$2:$B$201,B197),--EXACT($C$2:$C$201,C197))&gt;1,"Listed twice","ok"))))))</f>
        <v/>
      </c>
    </row>
    <row r="198" customFormat="false" ht="15" hidden="false" customHeight="false" outlineLevel="0" collapsed="false">
      <c r="A198" s="9"/>
      <c r="B198" s="9"/>
      <c r="C198" s="9"/>
      <c r="D198" s="10" t="str">
        <f aca="false">IF(A198="","",IF(SUMPRODUCT(--EXACT('2 Assets'!$A$2:$A$201,A198))=0,"'From' is not an asset",IF(SUMPRODUCT(--EXACT('2 Assets'!$A$2:$A$201,C198))=0,"'To' is not an asset",IF(SUMPRODUCT(--EXACT('1 Relationship types'!$A$2:$A$201,B198))=0,"Relationship is not defined",IF(A198=C198,"An asset cannot relate to itself",IF(SUMPRODUCT(--EXACT($A$2:$A$201,A198),--EXACT($B$2:$B$201,B198),--EXACT($C$2:$C$201,C198))&gt;1,"Listed twice","ok"))))))</f>
        <v/>
      </c>
    </row>
    <row r="199" customFormat="false" ht="15" hidden="false" customHeight="false" outlineLevel="0" collapsed="false">
      <c r="A199" s="9"/>
      <c r="B199" s="9"/>
      <c r="C199" s="9"/>
      <c r="D199" s="10" t="str">
        <f aca="false">IF(A199="","",IF(SUMPRODUCT(--EXACT('2 Assets'!$A$2:$A$201,A199))=0,"'From' is not an asset",IF(SUMPRODUCT(--EXACT('2 Assets'!$A$2:$A$201,C199))=0,"'To' is not an asset",IF(SUMPRODUCT(--EXACT('1 Relationship types'!$A$2:$A$201,B199))=0,"Relationship is not defined",IF(A199=C199,"An asset cannot relate to itself",IF(SUMPRODUCT(--EXACT($A$2:$A$201,A199),--EXACT($B$2:$B$201,B199),--EXACT($C$2:$C$201,C199))&gt;1,"Listed twice","ok"))))))</f>
        <v/>
      </c>
    </row>
    <row r="200" customFormat="false" ht="15" hidden="false" customHeight="false" outlineLevel="0" collapsed="false">
      <c r="A200" s="9"/>
      <c r="B200" s="9"/>
      <c r="C200" s="9"/>
      <c r="D200" s="10" t="str">
        <f aca="false">IF(A200="","",IF(SUMPRODUCT(--EXACT('2 Assets'!$A$2:$A$201,A200))=0,"'From' is not an asset",IF(SUMPRODUCT(--EXACT('2 Assets'!$A$2:$A$201,C200))=0,"'To' is not an asset",IF(SUMPRODUCT(--EXACT('1 Relationship types'!$A$2:$A$201,B200))=0,"Relationship is not defined",IF(A200=C200,"An asset cannot relate to itself",IF(SUMPRODUCT(--EXACT($A$2:$A$201,A200),--EXACT($B$2:$B$201,B200),--EXACT($C$2:$C$201,C200))&gt;1,"Listed twice","ok"))))))</f>
        <v/>
      </c>
    </row>
    <row r="201" customFormat="false" ht="15" hidden="false" customHeight="false" outlineLevel="0" collapsed="false">
      <c r="A201" s="9"/>
      <c r="B201" s="9"/>
      <c r="C201" s="9"/>
      <c r="D201" s="10" t="str">
        <f aca="false">IF(A201="","",IF(SUMPRODUCT(--EXACT('2 Assets'!$A$2:$A$201,A201))=0,"'From' is not an asset",IF(SUMPRODUCT(--EXACT('2 Assets'!$A$2:$A$201,C201))=0,"'To' is not an asset",IF(SUMPRODUCT(--EXACT('1 Relationship types'!$A$2:$A$201,B201))=0,"Relationship is not defined",IF(A201=C201,"An asset cannot relate to itself",IF(SUMPRODUCT(--EXACT($A$2:$A$201,A201),--EXACT($B$2:$B$201,B201),--EXACT($C$2:$C$201,C201))&gt;1,"Listed twice","ok"))))))</f>
        <v/>
      </c>
    </row>
  </sheetData>
  <dataValidations count="3">
    <dataValidation allowBlank="true" error="This value is not on the list. The check column will flag it." errorStyle="warning" errorTitle="Not on the list" operator="between" prompt="Pick an asset." showDropDown="false" showErrorMessage="true" showInputMessage="true" sqref="A2:A201" type="list">
      <formula1>'2 Assets'!$A$2:$A$201</formula1>
      <formula2>0</formula2>
    </dataValidation>
    <dataValidation allowBlank="true" error="This value is not on the list. The check column will flag it." errorStyle="warning" errorTitle="Not on the list" operator="between" prompt="Pick a relationship from the Relationship types sheet." showDropDown="false" showErrorMessage="true" showInputMessage="true" sqref="B2:B201" type="list">
      <formula1>'1 Relationship types'!$A$2:$A$201</formula1>
      <formula2>0</formula2>
    </dataValidation>
    <dataValidation allowBlank="true" error="This value is not on the list. The check column will flag it." errorStyle="warning" errorTitle="Not on the list" operator="between" prompt="Pick an asset." showDropDown="false" showErrorMessage="true" showInputMessage="true" sqref="C2:C201" type="list">
      <formula1>'2 Assets'!$A$2:$A$201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6"/>
    <col collapsed="false" customWidth="true" hidden="false" outlineLevel="0" max="4" min="4" style="0" width="74"/>
    <col collapsed="false" customWidth="true" hidden="false" outlineLevel="0" max="5" min="5" style="0" width="44"/>
  </cols>
  <sheetData>
    <row r="1" customFormat="false" ht="31.5" hidden="false" customHeight="true" outlineLevel="0" collapsed="false">
      <c r="A1" s="8" t="s">
        <v>152</v>
      </c>
      <c r="B1" s="8" t="s">
        <v>159</v>
      </c>
      <c r="C1" s="8" t="s">
        <v>160</v>
      </c>
      <c r="D1" s="8" t="s">
        <v>161</v>
      </c>
      <c r="E1" s="8" t="s">
        <v>49</v>
      </c>
    </row>
    <row r="2" customFormat="false" ht="15" hidden="false" customHeight="false" outlineLevel="0" collapsed="false">
      <c r="A2" s="9"/>
      <c r="B2" s="9"/>
      <c r="C2" s="9"/>
      <c r="D2" s="10" t="str">
        <f aca="false">IF(A2="","",IFERROR(IF(INDEX('2 Measurements'!$B$2:$B$201,MATCH(A2,'2 Measurements'!$A$2:$A$201,0))="Measurement",'Read me'!$B$9&amp;"/"&amp;INDEX('2 Assets'!$F$2:$F$201,MATCH(INDEX('2 Measurements'!$C$2:$C$201,MATCH(A2,'2 Measurements'!$A$2:$A$201,0)),'2 Assets'!$A$2:$A$201,0))&amp;"/"&amp;INDEX('2 Measurements'!$F$2:$F$201,MATCH(A2,'2 Measurements'!$A$2:$A$201,0)),'Read me'!$B$10&amp;"/"&amp;IFERROR(IF(INDEX('2 Assets'!$E$2:$E$201,MATCH(INDEX('2 Assets'!$M$2:$M$201,MATCH(INDEX('2 Measurements'!$C$2:$C$201,MATCH(A2,'2 Measurements'!$A$2:$A$201,0)),'2 Assets'!$A$2:$A$201,0)),'2 Assets'!$A$2:$A$201,0))="",INDEX('2 Assets'!$M$2:$M$201,MATCH(INDEX('2 Measurements'!$C$2:$C$201,MATCH(A2,'2 Measurements'!$A$2:$A$201,0)),'2 Assets'!$A$2:$A$201,0)),INDEX('2 Assets'!$E$2:$E$201,MATCH(INDEX('2 Assets'!$M$2:$M$201,MATCH(INDEX('2 Measurements'!$C$2:$C$201,MATCH(A2,'2 Measurements'!$A$2:$A$201,0)),'2 Assets'!$A$2:$A$201,0)),'2 Assets'!$A$2:$A$201,0))),INDEX('2 Assets'!$M$2:$M$201,MATCH(INDEX('2 Measurements'!$C$2:$C$201,MATCH(A2,'2 Measurements'!$A$2:$A$201,0)),'2 Assets'!$A$2:$A$201,0)))&amp;"/"&amp;INDEX('2 Measurements'!$C$2:$C$201,MATCH(A2,'2 Measurements'!$A$2:$A$201,0))&amp;"/"&amp;INDEX('2 Measurements'!$F$2:$F$201,MATCH(A2,'2 Measurements'!$A$2:$A$201,0))),""))</f>
        <v/>
      </c>
      <c r="E2" s="10" t="str">
        <f aca="false">IF(A2="","",IF(SUMPRODUCT(--EXACT('2 Measurements'!$A$2:$A$201,A2))=0,"Not on the Measurements sheet",IF(SUMPRODUCT(--EXACT($A$2:$A$201,A2))&gt;1,"Listed twice",IF(D2="","Topic could not be built: check the asset and the measurement",IF(COUNTIF($D$2:$D$201,D2)&gt;1,"Topic used twice","ok")))))</f>
        <v/>
      </c>
    </row>
    <row r="3" customFormat="false" ht="15" hidden="false" customHeight="false" outlineLevel="0" collapsed="false">
      <c r="A3" s="9"/>
      <c r="B3" s="9"/>
      <c r="C3" s="9"/>
      <c r="D3" s="10" t="str">
        <f aca="false">IF(A3="","",IFERROR(IF(INDEX('2 Measurements'!$B$2:$B$201,MATCH(A3,'2 Measurements'!$A$2:$A$201,0))="Measurement",'Read me'!$B$9&amp;"/"&amp;INDEX('2 Assets'!$F$2:$F$201,MATCH(INDEX('2 Measurements'!$C$2:$C$201,MATCH(A3,'2 Measurements'!$A$2:$A$201,0)),'2 Assets'!$A$2:$A$201,0))&amp;"/"&amp;INDEX('2 Measurements'!$F$2:$F$201,MATCH(A3,'2 Measurements'!$A$2:$A$201,0)),'Read me'!$B$10&amp;"/"&amp;IFERROR(IF(INDEX('2 Assets'!$E$2:$E$201,MATCH(INDEX('2 Assets'!$M$2:$M$201,MATCH(INDEX('2 Measurements'!$C$2:$C$201,MATCH(A3,'2 Measurements'!$A$2:$A$201,0)),'2 Assets'!$A$2:$A$201,0)),'2 Assets'!$A$2:$A$201,0))="",INDEX('2 Assets'!$M$2:$M$201,MATCH(INDEX('2 Measurements'!$C$2:$C$201,MATCH(A3,'2 Measurements'!$A$2:$A$201,0)),'2 Assets'!$A$2:$A$201,0)),INDEX('2 Assets'!$E$2:$E$201,MATCH(INDEX('2 Assets'!$M$2:$M$201,MATCH(INDEX('2 Measurements'!$C$2:$C$201,MATCH(A3,'2 Measurements'!$A$2:$A$201,0)),'2 Assets'!$A$2:$A$201,0)),'2 Assets'!$A$2:$A$201,0))),INDEX('2 Assets'!$M$2:$M$201,MATCH(INDEX('2 Measurements'!$C$2:$C$201,MATCH(A3,'2 Measurements'!$A$2:$A$201,0)),'2 Assets'!$A$2:$A$201,0)))&amp;"/"&amp;INDEX('2 Measurements'!$C$2:$C$201,MATCH(A3,'2 Measurements'!$A$2:$A$201,0))&amp;"/"&amp;INDEX('2 Measurements'!$F$2:$F$201,MATCH(A3,'2 Measurements'!$A$2:$A$201,0))),""))</f>
        <v/>
      </c>
      <c r="E3" s="10" t="str">
        <f aca="false">IF(A3="","",IF(SUMPRODUCT(--EXACT('2 Measurements'!$A$2:$A$201,A3))=0,"Not on the Measurements sheet",IF(SUMPRODUCT(--EXACT($A$2:$A$201,A3))&gt;1,"Listed twice",IF(D3="","Topic could not be built: check the asset and the measurement",IF(COUNTIF($D$2:$D$201,D3)&gt;1,"Topic used twice","ok")))))</f>
        <v/>
      </c>
    </row>
    <row r="4" customFormat="false" ht="15" hidden="false" customHeight="false" outlineLevel="0" collapsed="false">
      <c r="A4" s="9"/>
      <c r="B4" s="9"/>
      <c r="C4" s="9"/>
      <c r="D4" s="10" t="str">
        <f aca="false">IF(A4="","",IFERROR(IF(INDEX('2 Measurements'!$B$2:$B$201,MATCH(A4,'2 Measurements'!$A$2:$A$201,0))="Measurement",'Read me'!$B$9&amp;"/"&amp;INDEX('2 Assets'!$F$2:$F$201,MATCH(INDEX('2 Measurements'!$C$2:$C$201,MATCH(A4,'2 Measurements'!$A$2:$A$201,0)),'2 Assets'!$A$2:$A$201,0))&amp;"/"&amp;INDEX('2 Measurements'!$F$2:$F$201,MATCH(A4,'2 Measurements'!$A$2:$A$201,0)),'Read me'!$B$10&amp;"/"&amp;IFERROR(IF(INDEX('2 Assets'!$E$2:$E$201,MATCH(INDEX('2 Assets'!$M$2:$M$201,MATCH(INDEX('2 Measurements'!$C$2:$C$201,MATCH(A4,'2 Measurements'!$A$2:$A$201,0)),'2 Assets'!$A$2:$A$201,0)),'2 Assets'!$A$2:$A$201,0))="",INDEX('2 Assets'!$M$2:$M$201,MATCH(INDEX('2 Measurements'!$C$2:$C$201,MATCH(A4,'2 Measurements'!$A$2:$A$201,0)),'2 Assets'!$A$2:$A$201,0)),INDEX('2 Assets'!$E$2:$E$201,MATCH(INDEX('2 Assets'!$M$2:$M$201,MATCH(INDEX('2 Measurements'!$C$2:$C$201,MATCH(A4,'2 Measurements'!$A$2:$A$201,0)),'2 Assets'!$A$2:$A$201,0)),'2 Assets'!$A$2:$A$201,0))),INDEX('2 Assets'!$M$2:$M$201,MATCH(INDEX('2 Measurements'!$C$2:$C$201,MATCH(A4,'2 Measurements'!$A$2:$A$201,0)),'2 Assets'!$A$2:$A$201,0)))&amp;"/"&amp;INDEX('2 Measurements'!$C$2:$C$201,MATCH(A4,'2 Measurements'!$A$2:$A$201,0))&amp;"/"&amp;INDEX('2 Measurements'!$F$2:$F$201,MATCH(A4,'2 Measurements'!$A$2:$A$201,0))),""))</f>
        <v/>
      </c>
      <c r="E4" s="10" t="str">
        <f aca="false">IF(A4="","",IF(SUMPRODUCT(--EXACT('2 Measurements'!$A$2:$A$201,A4))=0,"Not on the Measurements sheet",IF(SUMPRODUCT(--EXACT($A$2:$A$201,A4))&gt;1,"Listed twice",IF(D4="","Topic could not be built: check the asset and the measurement",IF(COUNTIF($D$2:$D$201,D4)&gt;1,"Topic used twice","ok")))))</f>
        <v/>
      </c>
    </row>
    <row r="5" customFormat="false" ht="15" hidden="false" customHeight="false" outlineLevel="0" collapsed="false">
      <c r="A5" s="9"/>
      <c r="B5" s="9"/>
      <c r="C5" s="9"/>
      <c r="D5" s="10" t="str">
        <f aca="false">IF(A5="","",IFERROR(IF(INDEX('2 Measurements'!$B$2:$B$201,MATCH(A5,'2 Measurements'!$A$2:$A$201,0))="Measurement",'Read me'!$B$9&amp;"/"&amp;INDEX('2 Assets'!$F$2:$F$201,MATCH(INDEX('2 Measurements'!$C$2:$C$201,MATCH(A5,'2 Measurements'!$A$2:$A$201,0)),'2 Assets'!$A$2:$A$201,0))&amp;"/"&amp;INDEX('2 Measurements'!$F$2:$F$201,MATCH(A5,'2 Measurements'!$A$2:$A$201,0)),'Read me'!$B$10&amp;"/"&amp;IFERROR(IF(INDEX('2 Assets'!$E$2:$E$201,MATCH(INDEX('2 Assets'!$M$2:$M$201,MATCH(INDEX('2 Measurements'!$C$2:$C$201,MATCH(A5,'2 Measurements'!$A$2:$A$201,0)),'2 Assets'!$A$2:$A$201,0)),'2 Assets'!$A$2:$A$201,0))="",INDEX('2 Assets'!$M$2:$M$201,MATCH(INDEX('2 Measurements'!$C$2:$C$201,MATCH(A5,'2 Measurements'!$A$2:$A$201,0)),'2 Assets'!$A$2:$A$201,0)),INDEX('2 Assets'!$E$2:$E$201,MATCH(INDEX('2 Assets'!$M$2:$M$201,MATCH(INDEX('2 Measurements'!$C$2:$C$201,MATCH(A5,'2 Measurements'!$A$2:$A$201,0)),'2 Assets'!$A$2:$A$201,0)),'2 Assets'!$A$2:$A$201,0))),INDEX('2 Assets'!$M$2:$M$201,MATCH(INDEX('2 Measurements'!$C$2:$C$201,MATCH(A5,'2 Measurements'!$A$2:$A$201,0)),'2 Assets'!$A$2:$A$201,0)))&amp;"/"&amp;INDEX('2 Measurements'!$C$2:$C$201,MATCH(A5,'2 Measurements'!$A$2:$A$201,0))&amp;"/"&amp;INDEX('2 Measurements'!$F$2:$F$201,MATCH(A5,'2 Measurements'!$A$2:$A$201,0))),""))</f>
        <v/>
      </c>
      <c r="E5" s="10" t="str">
        <f aca="false">IF(A5="","",IF(SUMPRODUCT(--EXACT('2 Measurements'!$A$2:$A$201,A5))=0,"Not on the Measurements sheet",IF(SUMPRODUCT(--EXACT($A$2:$A$201,A5))&gt;1,"Listed twice",IF(D5="","Topic could not be built: check the asset and the measurement",IF(COUNTIF($D$2:$D$201,D5)&gt;1,"Topic used twice","ok")))))</f>
        <v/>
      </c>
    </row>
    <row r="6" customFormat="false" ht="15" hidden="false" customHeight="false" outlineLevel="0" collapsed="false">
      <c r="A6" s="9"/>
      <c r="B6" s="9"/>
      <c r="C6" s="9"/>
      <c r="D6" s="10" t="str">
        <f aca="false">IF(A6="","",IFERROR(IF(INDEX('2 Measurements'!$B$2:$B$201,MATCH(A6,'2 Measurements'!$A$2:$A$201,0))="Measurement",'Read me'!$B$9&amp;"/"&amp;INDEX('2 Assets'!$F$2:$F$201,MATCH(INDEX('2 Measurements'!$C$2:$C$201,MATCH(A6,'2 Measurements'!$A$2:$A$201,0)),'2 Assets'!$A$2:$A$201,0))&amp;"/"&amp;INDEX('2 Measurements'!$F$2:$F$201,MATCH(A6,'2 Measurements'!$A$2:$A$201,0)),'Read me'!$B$10&amp;"/"&amp;IFERROR(IF(INDEX('2 Assets'!$E$2:$E$201,MATCH(INDEX('2 Assets'!$M$2:$M$201,MATCH(INDEX('2 Measurements'!$C$2:$C$201,MATCH(A6,'2 Measurements'!$A$2:$A$201,0)),'2 Assets'!$A$2:$A$201,0)),'2 Assets'!$A$2:$A$201,0))="",INDEX('2 Assets'!$M$2:$M$201,MATCH(INDEX('2 Measurements'!$C$2:$C$201,MATCH(A6,'2 Measurements'!$A$2:$A$201,0)),'2 Assets'!$A$2:$A$201,0)),INDEX('2 Assets'!$E$2:$E$201,MATCH(INDEX('2 Assets'!$M$2:$M$201,MATCH(INDEX('2 Measurements'!$C$2:$C$201,MATCH(A6,'2 Measurements'!$A$2:$A$201,0)),'2 Assets'!$A$2:$A$201,0)),'2 Assets'!$A$2:$A$201,0))),INDEX('2 Assets'!$M$2:$M$201,MATCH(INDEX('2 Measurements'!$C$2:$C$201,MATCH(A6,'2 Measurements'!$A$2:$A$201,0)),'2 Assets'!$A$2:$A$201,0)))&amp;"/"&amp;INDEX('2 Measurements'!$C$2:$C$201,MATCH(A6,'2 Measurements'!$A$2:$A$201,0))&amp;"/"&amp;INDEX('2 Measurements'!$F$2:$F$201,MATCH(A6,'2 Measurements'!$A$2:$A$201,0))),""))</f>
        <v/>
      </c>
      <c r="E6" s="10" t="str">
        <f aca="false">IF(A6="","",IF(SUMPRODUCT(--EXACT('2 Measurements'!$A$2:$A$201,A6))=0,"Not on the Measurements sheet",IF(SUMPRODUCT(--EXACT($A$2:$A$201,A6))&gt;1,"Listed twice",IF(D6="","Topic could not be built: check the asset and the measurement",IF(COUNTIF($D$2:$D$201,D6)&gt;1,"Topic used twice","ok")))))</f>
        <v/>
      </c>
    </row>
    <row r="7" customFormat="false" ht="15" hidden="false" customHeight="false" outlineLevel="0" collapsed="false">
      <c r="A7" s="9"/>
      <c r="B7" s="9"/>
      <c r="C7" s="9"/>
      <c r="D7" s="10" t="str">
        <f aca="false">IF(A7="","",IFERROR(IF(INDEX('2 Measurements'!$B$2:$B$201,MATCH(A7,'2 Measurements'!$A$2:$A$201,0))="Measurement",'Read me'!$B$9&amp;"/"&amp;INDEX('2 Assets'!$F$2:$F$201,MATCH(INDEX('2 Measurements'!$C$2:$C$201,MATCH(A7,'2 Measurements'!$A$2:$A$201,0)),'2 Assets'!$A$2:$A$201,0))&amp;"/"&amp;INDEX('2 Measurements'!$F$2:$F$201,MATCH(A7,'2 Measurements'!$A$2:$A$201,0)),'Read me'!$B$10&amp;"/"&amp;IFERROR(IF(INDEX('2 Assets'!$E$2:$E$201,MATCH(INDEX('2 Assets'!$M$2:$M$201,MATCH(INDEX('2 Measurements'!$C$2:$C$201,MATCH(A7,'2 Measurements'!$A$2:$A$201,0)),'2 Assets'!$A$2:$A$201,0)),'2 Assets'!$A$2:$A$201,0))="",INDEX('2 Assets'!$M$2:$M$201,MATCH(INDEX('2 Measurements'!$C$2:$C$201,MATCH(A7,'2 Measurements'!$A$2:$A$201,0)),'2 Assets'!$A$2:$A$201,0)),INDEX('2 Assets'!$E$2:$E$201,MATCH(INDEX('2 Assets'!$M$2:$M$201,MATCH(INDEX('2 Measurements'!$C$2:$C$201,MATCH(A7,'2 Measurements'!$A$2:$A$201,0)),'2 Assets'!$A$2:$A$201,0)),'2 Assets'!$A$2:$A$201,0))),INDEX('2 Assets'!$M$2:$M$201,MATCH(INDEX('2 Measurements'!$C$2:$C$201,MATCH(A7,'2 Measurements'!$A$2:$A$201,0)),'2 Assets'!$A$2:$A$201,0)))&amp;"/"&amp;INDEX('2 Measurements'!$C$2:$C$201,MATCH(A7,'2 Measurements'!$A$2:$A$201,0))&amp;"/"&amp;INDEX('2 Measurements'!$F$2:$F$201,MATCH(A7,'2 Measurements'!$A$2:$A$201,0))),""))</f>
        <v/>
      </c>
      <c r="E7" s="10" t="str">
        <f aca="false">IF(A7="","",IF(SUMPRODUCT(--EXACT('2 Measurements'!$A$2:$A$201,A7))=0,"Not on the Measurements sheet",IF(SUMPRODUCT(--EXACT($A$2:$A$201,A7))&gt;1,"Listed twice",IF(D7="","Topic could not be built: check the asset and the measurement",IF(COUNTIF($D$2:$D$201,D7)&gt;1,"Topic used twice","ok")))))</f>
        <v/>
      </c>
    </row>
    <row r="8" customFormat="false" ht="15" hidden="false" customHeight="false" outlineLevel="0" collapsed="false">
      <c r="A8" s="9"/>
      <c r="B8" s="9"/>
      <c r="C8" s="9"/>
      <c r="D8" s="10" t="str">
        <f aca="false">IF(A8="","",IFERROR(IF(INDEX('2 Measurements'!$B$2:$B$201,MATCH(A8,'2 Measurements'!$A$2:$A$201,0))="Measurement",'Read me'!$B$9&amp;"/"&amp;INDEX('2 Assets'!$F$2:$F$201,MATCH(INDEX('2 Measurements'!$C$2:$C$201,MATCH(A8,'2 Measurements'!$A$2:$A$201,0)),'2 Assets'!$A$2:$A$201,0))&amp;"/"&amp;INDEX('2 Measurements'!$F$2:$F$201,MATCH(A8,'2 Measurements'!$A$2:$A$201,0)),'Read me'!$B$10&amp;"/"&amp;IFERROR(IF(INDEX('2 Assets'!$E$2:$E$201,MATCH(INDEX('2 Assets'!$M$2:$M$201,MATCH(INDEX('2 Measurements'!$C$2:$C$201,MATCH(A8,'2 Measurements'!$A$2:$A$201,0)),'2 Assets'!$A$2:$A$201,0)),'2 Assets'!$A$2:$A$201,0))="",INDEX('2 Assets'!$M$2:$M$201,MATCH(INDEX('2 Measurements'!$C$2:$C$201,MATCH(A8,'2 Measurements'!$A$2:$A$201,0)),'2 Assets'!$A$2:$A$201,0)),INDEX('2 Assets'!$E$2:$E$201,MATCH(INDEX('2 Assets'!$M$2:$M$201,MATCH(INDEX('2 Measurements'!$C$2:$C$201,MATCH(A8,'2 Measurements'!$A$2:$A$201,0)),'2 Assets'!$A$2:$A$201,0)),'2 Assets'!$A$2:$A$201,0))),INDEX('2 Assets'!$M$2:$M$201,MATCH(INDEX('2 Measurements'!$C$2:$C$201,MATCH(A8,'2 Measurements'!$A$2:$A$201,0)),'2 Assets'!$A$2:$A$201,0)))&amp;"/"&amp;INDEX('2 Measurements'!$C$2:$C$201,MATCH(A8,'2 Measurements'!$A$2:$A$201,0))&amp;"/"&amp;INDEX('2 Measurements'!$F$2:$F$201,MATCH(A8,'2 Measurements'!$A$2:$A$201,0))),""))</f>
        <v/>
      </c>
      <c r="E8" s="10" t="str">
        <f aca="false">IF(A8="","",IF(SUMPRODUCT(--EXACT('2 Measurements'!$A$2:$A$201,A8))=0,"Not on the Measurements sheet",IF(SUMPRODUCT(--EXACT($A$2:$A$201,A8))&gt;1,"Listed twice",IF(D8="","Topic could not be built: check the asset and the measurement",IF(COUNTIF($D$2:$D$201,D8)&gt;1,"Topic used twice","ok")))))</f>
        <v/>
      </c>
    </row>
    <row r="9" customFormat="false" ht="15" hidden="false" customHeight="false" outlineLevel="0" collapsed="false">
      <c r="A9" s="9"/>
      <c r="B9" s="9"/>
      <c r="C9" s="9"/>
      <c r="D9" s="10" t="str">
        <f aca="false">IF(A9="","",IFERROR(IF(INDEX('2 Measurements'!$B$2:$B$201,MATCH(A9,'2 Measurements'!$A$2:$A$201,0))="Measurement",'Read me'!$B$9&amp;"/"&amp;INDEX('2 Assets'!$F$2:$F$201,MATCH(INDEX('2 Measurements'!$C$2:$C$201,MATCH(A9,'2 Measurements'!$A$2:$A$201,0)),'2 Assets'!$A$2:$A$201,0))&amp;"/"&amp;INDEX('2 Measurements'!$F$2:$F$201,MATCH(A9,'2 Measurements'!$A$2:$A$201,0)),'Read me'!$B$10&amp;"/"&amp;IFERROR(IF(INDEX('2 Assets'!$E$2:$E$201,MATCH(INDEX('2 Assets'!$M$2:$M$201,MATCH(INDEX('2 Measurements'!$C$2:$C$201,MATCH(A9,'2 Measurements'!$A$2:$A$201,0)),'2 Assets'!$A$2:$A$201,0)),'2 Assets'!$A$2:$A$201,0))="",INDEX('2 Assets'!$M$2:$M$201,MATCH(INDEX('2 Measurements'!$C$2:$C$201,MATCH(A9,'2 Measurements'!$A$2:$A$201,0)),'2 Assets'!$A$2:$A$201,0)),INDEX('2 Assets'!$E$2:$E$201,MATCH(INDEX('2 Assets'!$M$2:$M$201,MATCH(INDEX('2 Measurements'!$C$2:$C$201,MATCH(A9,'2 Measurements'!$A$2:$A$201,0)),'2 Assets'!$A$2:$A$201,0)),'2 Assets'!$A$2:$A$201,0))),INDEX('2 Assets'!$M$2:$M$201,MATCH(INDEX('2 Measurements'!$C$2:$C$201,MATCH(A9,'2 Measurements'!$A$2:$A$201,0)),'2 Assets'!$A$2:$A$201,0)))&amp;"/"&amp;INDEX('2 Measurements'!$C$2:$C$201,MATCH(A9,'2 Measurements'!$A$2:$A$201,0))&amp;"/"&amp;INDEX('2 Measurements'!$F$2:$F$201,MATCH(A9,'2 Measurements'!$A$2:$A$201,0))),""))</f>
        <v/>
      </c>
      <c r="E9" s="10" t="str">
        <f aca="false">IF(A9="","",IF(SUMPRODUCT(--EXACT('2 Measurements'!$A$2:$A$201,A9))=0,"Not on the Measurements sheet",IF(SUMPRODUCT(--EXACT($A$2:$A$201,A9))&gt;1,"Listed twice",IF(D9="","Topic could not be built: check the asset and the measurement",IF(COUNTIF($D$2:$D$201,D9)&gt;1,"Topic used twice","ok")))))</f>
        <v/>
      </c>
    </row>
    <row r="10" customFormat="false" ht="15" hidden="false" customHeight="false" outlineLevel="0" collapsed="false">
      <c r="A10" s="9"/>
      <c r="B10" s="9"/>
      <c r="C10" s="9"/>
      <c r="D10" s="10" t="str">
        <f aca="false">IF(A10="","",IFERROR(IF(INDEX('2 Measurements'!$B$2:$B$201,MATCH(A10,'2 Measurements'!$A$2:$A$201,0))="Measurement",'Read me'!$B$9&amp;"/"&amp;INDEX('2 Assets'!$F$2:$F$201,MATCH(INDEX('2 Measurements'!$C$2:$C$201,MATCH(A10,'2 Measurements'!$A$2:$A$201,0)),'2 Assets'!$A$2:$A$201,0))&amp;"/"&amp;INDEX('2 Measurements'!$F$2:$F$201,MATCH(A10,'2 Measurements'!$A$2:$A$201,0)),'Read me'!$B$10&amp;"/"&amp;IFERROR(IF(INDEX('2 Assets'!$E$2:$E$201,MATCH(INDEX('2 Assets'!$M$2:$M$201,MATCH(INDEX('2 Measurements'!$C$2:$C$201,MATCH(A10,'2 Measurements'!$A$2:$A$201,0)),'2 Assets'!$A$2:$A$201,0)),'2 Assets'!$A$2:$A$201,0))="",INDEX('2 Assets'!$M$2:$M$201,MATCH(INDEX('2 Measurements'!$C$2:$C$201,MATCH(A10,'2 Measurements'!$A$2:$A$201,0)),'2 Assets'!$A$2:$A$201,0)),INDEX('2 Assets'!$E$2:$E$201,MATCH(INDEX('2 Assets'!$M$2:$M$201,MATCH(INDEX('2 Measurements'!$C$2:$C$201,MATCH(A10,'2 Measurements'!$A$2:$A$201,0)),'2 Assets'!$A$2:$A$201,0)),'2 Assets'!$A$2:$A$201,0))),INDEX('2 Assets'!$M$2:$M$201,MATCH(INDEX('2 Measurements'!$C$2:$C$201,MATCH(A10,'2 Measurements'!$A$2:$A$201,0)),'2 Assets'!$A$2:$A$201,0)))&amp;"/"&amp;INDEX('2 Measurements'!$C$2:$C$201,MATCH(A10,'2 Measurements'!$A$2:$A$201,0))&amp;"/"&amp;INDEX('2 Measurements'!$F$2:$F$201,MATCH(A10,'2 Measurements'!$A$2:$A$201,0))),""))</f>
        <v/>
      </c>
      <c r="E10" s="10" t="str">
        <f aca="false">IF(A10="","",IF(SUMPRODUCT(--EXACT('2 Measurements'!$A$2:$A$201,A10))=0,"Not on the Measurements sheet",IF(SUMPRODUCT(--EXACT($A$2:$A$201,A10))&gt;1,"Listed twice",IF(D10="","Topic could not be built: check the asset and the measurement",IF(COUNTIF($D$2:$D$201,D10)&gt;1,"Topic used twice","ok")))))</f>
        <v/>
      </c>
    </row>
    <row r="11" customFormat="false" ht="15" hidden="false" customHeight="false" outlineLevel="0" collapsed="false">
      <c r="A11" s="9"/>
      <c r="B11" s="9"/>
      <c r="C11" s="9"/>
      <c r="D11" s="10" t="str">
        <f aca="false">IF(A11="","",IFERROR(IF(INDEX('2 Measurements'!$B$2:$B$201,MATCH(A11,'2 Measurements'!$A$2:$A$201,0))="Measurement",'Read me'!$B$9&amp;"/"&amp;INDEX('2 Assets'!$F$2:$F$201,MATCH(INDEX('2 Measurements'!$C$2:$C$201,MATCH(A11,'2 Measurements'!$A$2:$A$201,0)),'2 Assets'!$A$2:$A$201,0))&amp;"/"&amp;INDEX('2 Measurements'!$F$2:$F$201,MATCH(A11,'2 Measurements'!$A$2:$A$201,0)),'Read me'!$B$10&amp;"/"&amp;IFERROR(IF(INDEX('2 Assets'!$E$2:$E$201,MATCH(INDEX('2 Assets'!$M$2:$M$201,MATCH(INDEX('2 Measurements'!$C$2:$C$201,MATCH(A11,'2 Measurements'!$A$2:$A$201,0)),'2 Assets'!$A$2:$A$201,0)),'2 Assets'!$A$2:$A$201,0))="",INDEX('2 Assets'!$M$2:$M$201,MATCH(INDEX('2 Measurements'!$C$2:$C$201,MATCH(A11,'2 Measurements'!$A$2:$A$201,0)),'2 Assets'!$A$2:$A$201,0)),INDEX('2 Assets'!$E$2:$E$201,MATCH(INDEX('2 Assets'!$M$2:$M$201,MATCH(INDEX('2 Measurements'!$C$2:$C$201,MATCH(A11,'2 Measurements'!$A$2:$A$201,0)),'2 Assets'!$A$2:$A$201,0)),'2 Assets'!$A$2:$A$201,0))),INDEX('2 Assets'!$M$2:$M$201,MATCH(INDEX('2 Measurements'!$C$2:$C$201,MATCH(A11,'2 Measurements'!$A$2:$A$201,0)),'2 Assets'!$A$2:$A$201,0)))&amp;"/"&amp;INDEX('2 Measurements'!$C$2:$C$201,MATCH(A11,'2 Measurements'!$A$2:$A$201,0))&amp;"/"&amp;INDEX('2 Measurements'!$F$2:$F$201,MATCH(A11,'2 Measurements'!$A$2:$A$201,0))),""))</f>
        <v/>
      </c>
      <c r="E11" s="10" t="str">
        <f aca="false">IF(A11="","",IF(SUMPRODUCT(--EXACT('2 Measurements'!$A$2:$A$201,A11))=0,"Not on the Measurements sheet",IF(SUMPRODUCT(--EXACT($A$2:$A$201,A11))&gt;1,"Listed twice",IF(D11="","Topic could not be built: check the asset and the measurement",IF(COUNTIF($D$2:$D$201,D11)&gt;1,"Topic used twice","ok")))))</f>
        <v/>
      </c>
    </row>
    <row r="12" customFormat="false" ht="15" hidden="false" customHeight="false" outlineLevel="0" collapsed="false">
      <c r="A12" s="9"/>
      <c r="B12" s="9"/>
      <c r="C12" s="9"/>
      <c r="D12" s="10" t="str">
        <f aca="false">IF(A12="","",IFERROR(IF(INDEX('2 Measurements'!$B$2:$B$201,MATCH(A12,'2 Measurements'!$A$2:$A$201,0))="Measurement",'Read me'!$B$9&amp;"/"&amp;INDEX('2 Assets'!$F$2:$F$201,MATCH(INDEX('2 Measurements'!$C$2:$C$201,MATCH(A12,'2 Measurements'!$A$2:$A$201,0)),'2 Assets'!$A$2:$A$201,0))&amp;"/"&amp;INDEX('2 Measurements'!$F$2:$F$201,MATCH(A12,'2 Measurements'!$A$2:$A$201,0)),'Read me'!$B$10&amp;"/"&amp;IFERROR(IF(INDEX('2 Assets'!$E$2:$E$201,MATCH(INDEX('2 Assets'!$M$2:$M$201,MATCH(INDEX('2 Measurements'!$C$2:$C$201,MATCH(A12,'2 Measurements'!$A$2:$A$201,0)),'2 Assets'!$A$2:$A$201,0)),'2 Assets'!$A$2:$A$201,0))="",INDEX('2 Assets'!$M$2:$M$201,MATCH(INDEX('2 Measurements'!$C$2:$C$201,MATCH(A12,'2 Measurements'!$A$2:$A$201,0)),'2 Assets'!$A$2:$A$201,0)),INDEX('2 Assets'!$E$2:$E$201,MATCH(INDEX('2 Assets'!$M$2:$M$201,MATCH(INDEX('2 Measurements'!$C$2:$C$201,MATCH(A12,'2 Measurements'!$A$2:$A$201,0)),'2 Assets'!$A$2:$A$201,0)),'2 Assets'!$A$2:$A$201,0))),INDEX('2 Assets'!$M$2:$M$201,MATCH(INDEX('2 Measurements'!$C$2:$C$201,MATCH(A12,'2 Measurements'!$A$2:$A$201,0)),'2 Assets'!$A$2:$A$201,0)))&amp;"/"&amp;INDEX('2 Measurements'!$C$2:$C$201,MATCH(A12,'2 Measurements'!$A$2:$A$201,0))&amp;"/"&amp;INDEX('2 Measurements'!$F$2:$F$201,MATCH(A12,'2 Measurements'!$A$2:$A$201,0))),""))</f>
        <v/>
      </c>
      <c r="E12" s="10" t="str">
        <f aca="false">IF(A12="","",IF(SUMPRODUCT(--EXACT('2 Measurements'!$A$2:$A$201,A12))=0,"Not on the Measurements sheet",IF(SUMPRODUCT(--EXACT($A$2:$A$201,A12))&gt;1,"Listed twice",IF(D12="","Topic could not be built: check the asset and the measurement",IF(COUNTIF($D$2:$D$201,D12)&gt;1,"Topic used twice","ok")))))</f>
        <v/>
      </c>
    </row>
    <row r="13" customFormat="false" ht="15" hidden="false" customHeight="false" outlineLevel="0" collapsed="false">
      <c r="A13" s="9"/>
      <c r="B13" s="9"/>
      <c r="C13" s="9"/>
      <c r="D13" s="10" t="str">
        <f aca="false">IF(A13="","",IFERROR(IF(INDEX('2 Measurements'!$B$2:$B$201,MATCH(A13,'2 Measurements'!$A$2:$A$201,0))="Measurement",'Read me'!$B$9&amp;"/"&amp;INDEX('2 Assets'!$F$2:$F$201,MATCH(INDEX('2 Measurements'!$C$2:$C$201,MATCH(A13,'2 Measurements'!$A$2:$A$201,0)),'2 Assets'!$A$2:$A$201,0))&amp;"/"&amp;INDEX('2 Measurements'!$F$2:$F$201,MATCH(A13,'2 Measurements'!$A$2:$A$201,0)),'Read me'!$B$10&amp;"/"&amp;IFERROR(IF(INDEX('2 Assets'!$E$2:$E$201,MATCH(INDEX('2 Assets'!$M$2:$M$201,MATCH(INDEX('2 Measurements'!$C$2:$C$201,MATCH(A13,'2 Measurements'!$A$2:$A$201,0)),'2 Assets'!$A$2:$A$201,0)),'2 Assets'!$A$2:$A$201,0))="",INDEX('2 Assets'!$M$2:$M$201,MATCH(INDEX('2 Measurements'!$C$2:$C$201,MATCH(A13,'2 Measurements'!$A$2:$A$201,0)),'2 Assets'!$A$2:$A$201,0)),INDEX('2 Assets'!$E$2:$E$201,MATCH(INDEX('2 Assets'!$M$2:$M$201,MATCH(INDEX('2 Measurements'!$C$2:$C$201,MATCH(A13,'2 Measurements'!$A$2:$A$201,0)),'2 Assets'!$A$2:$A$201,0)),'2 Assets'!$A$2:$A$201,0))),INDEX('2 Assets'!$M$2:$M$201,MATCH(INDEX('2 Measurements'!$C$2:$C$201,MATCH(A13,'2 Measurements'!$A$2:$A$201,0)),'2 Assets'!$A$2:$A$201,0)))&amp;"/"&amp;INDEX('2 Measurements'!$C$2:$C$201,MATCH(A13,'2 Measurements'!$A$2:$A$201,0))&amp;"/"&amp;INDEX('2 Measurements'!$F$2:$F$201,MATCH(A13,'2 Measurements'!$A$2:$A$201,0))),""))</f>
        <v/>
      </c>
      <c r="E13" s="10" t="str">
        <f aca="false">IF(A13="","",IF(SUMPRODUCT(--EXACT('2 Measurements'!$A$2:$A$201,A13))=0,"Not on the Measurements sheet",IF(SUMPRODUCT(--EXACT($A$2:$A$201,A13))&gt;1,"Listed twice",IF(D13="","Topic could not be built: check the asset and the measurement",IF(COUNTIF($D$2:$D$201,D13)&gt;1,"Topic used twice","ok")))))</f>
        <v/>
      </c>
    </row>
    <row r="14" customFormat="false" ht="15" hidden="false" customHeight="false" outlineLevel="0" collapsed="false">
      <c r="A14" s="9"/>
      <c r="B14" s="9"/>
      <c r="C14" s="9"/>
      <c r="D14" s="10" t="str">
        <f aca="false">IF(A14="","",IFERROR(IF(INDEX('2 Measurements'!$B$2:$B$201,MATCH(A14,'2 Measurements'!$A$2:$A$201,0))="Measurement",'Read me'!$B$9&amp;"/"&amp;INDEX('2 Assets'!$F$2:$F$201,MATCH(INDEX('2 Measurements'!$C$2:$C$201,MATCH(A14,'2 Measurements'!$A$2:$A$201,0)),'2 Assets'!$A$2:$A$201,0))&amp;"/"&amp;INDEX('2 Measurements'!$F$2:$F$201,MATCH(A14,'2 Measurements'!$A$2:$A$201,0)),'Read me'!$B$10&amp;"/"&amp;IFERROR(IF(INDEX('2 Assets'!$E$2:$E$201,MATCH(INDEX('2 Assets'!$M$2:$M$201,MATCH(INDEX('2 Measurements'!$C$2:$C$201,MATCH(A14,'2 Measurements'!$A$2:$A$201,0)),'2 Assets'!$A$2:$A$201,0)),'2 Assets'!$A$2:$A$201,0))="",INDEX('2 Assets'!$M$2:$M$201,MATCH(INDEX('2 Measurements'!$C$2:$C$201,MATCH(A14,'2 Measurements'!$A$2:$A$201,0)),'2 Assets'!$A$2:$A$201,0)),INDEX('2 Assets'!$E$2:$E$201,MATCH(INDEX('2 Assets'!$M$2:$M$201,MATCH(INDEX('2 Measurements'!$C$2:$C$201,MATCH(A14,'2 Measurements'!$A$2:$A$201,0)),'2 Assets'!$A$2:$A$201,0)),'2 Assets'!$A$2:$A$201,0))),INDEX('2 Assets'!$M$2:$M$201,MATCH(INDEX('2 Measurements'!$C$2:$C$201,MATCH(A14,'2 Measurements'!$A$2:$A$201,0)),'2 Assets'!$A$2:$A$201,0)))&amp;"/"&amp;INDEX('2 Measurements'!$C$2:$C$201,MATCH(A14,'2 Measurements'!$A$2:$A$201,0))&amp;"/"&amp;INDEX('2 Measurements'!$F$2:$F$201,MATCH(A14,'2 Measurements'!$A$2:$A$201,0))),""))</f>
        <v/>
      </c>
      <c r="E14" s="10" t="str">
        <f aca="false">IF(A14="","",IF(SUMPRODUCT(--EXACT('2 Measurements'!$A$2:$A$201,A14))=0,"Not on the Measurements sheet",IF(SUMPRODUCT(--EXACT($A$2:$A$201,A14))&gt;1,"Listed twice",IF(D14="","Topic could not be built: check the asset and the measurement",IF(COUNTIF($D$2:$D$201,D14)&gt;1,"Topic used twice","ok")))))</f>
        <v/>
      </c>
    </row>
    <row r="15" customFormat="false" ht="15" hidden="false" customHeight="false" outlineLevel="0" collapsed="false">
      <c r="A15" s="9"/>
      <c r="B15" s="9"/>
      <c r="C15" s="9"/>
      <c r="D15" s="10" t="str">
        <f aca="false">IF(A15="","",IFERROR(IF(INDEX('2 Measurements'!$B$2:$B$201,MATCH(A15,'2 Measurements'!$A$2:$A$201,0))="Measurement",'Read me'!$B$9&amp;"/"&amp;INDEX('2 Assets'!$F$2:$F$201,MATCH(INDEX('2 Measurements'!$C$2:$C$201,MATCH(A15,'2 Measurements'!$A$2:$A$201,0)),'2 Assets'!$A$2:$A$201,0))&amp;"/"&amp;INDEX('2 Measurements'!$F$2:$F$201,MATCH(A15,'2 Measurements'!$A$2:$A$201,0)),'Read me'!$B$10&amp;"/"&amp;IFERROR(IF(INDEX('2 Assets'!$E$2:$E$201,MATCH(INDEX('2 Assets'!$M$2:$M$201,MATCH(INDEX('2 Measurements'!$C$2:$C$201,MATCH(A15,'2 Measurements'!$A$2:$A$201,0)),'2 Assets'!$A$2:$A$201,0)),'2 Assets'!$A$2:$A$201,0))="",INDEX('2 Assets'!$M$2:$M$201,MATCH(INDEX('2 Measurements'!$C$2:$C$201,MATCH(A15,'2 Measurements'!$A$2:$A$201,0)),'2 Assets'!$A$2:$A$201,0)),INDEX('2 Assets'!$E$2:$E$201,MATCH(INDEX('2 Assets'!$M$2:$M$201,MATCH(INDEX('2 Measurements'!$C$2:$C$201,MATCH(A15,'2 Measurements'!$A$2:$A$201,0)),'2 Assets'!$A$2:$A$201,0)),'2 Assets'!$A$2:$A$201,0))),INDEX('2 Assets'!$M$2:$M$201,MATCH(INDEX('2 Measurements'!$C$2:$C$201,MATCH(A15,'2 Measurements'!$A$2:$A$201,0)),'2 Assets'!$A$2:$A$201,0)))&amp;"/"&amp;INDEX('2 Measurements'!$C$2:$C$201,MATCH(A15,'2 Measurements'!$A$2:$A$201,0))&amp;"/"&amp;INDEX('2 Measurements'!$F$2:$F$201,MATCH(A15,'2 Measurements'!$A$2:$A$201,0))),""))</f>
        <v/>
      </c>
      <c r="E15" s="10" t="str">
        <f aca="false">IF(A15="","",IF(SUMPRODUCT(--EXACT('2 Measurements'!$A$2:$A$201,A15))=0,"Not on the Measurements sheet",IF(SUMPRODUCT(--EXACT($A$2:$A$201,A15))&gt;1,"Listed twice",IF(D15="","Topic could not be built: check the asset and the measurement",IF(COUNTIF($D$2:$D$201,D15)&gt;1,"Topic used twice","ok")))))</f>
        <v/>
      </c>
    </row>
    <row r="16" customFormat="false" ht="15" hidden="false" customHeight="false" outlineLevel="0" collapsed="false">
      <c r="A16" s="9"/>
      <c r="B16" s="9"/>
      <c r="C16" s="9"/>
      <c r="D16" s="10" t="str">
        <f aca="false">IF(A16="","",IFERROR(IF(INDEX('2 Measurements'!$B$2:$B$201,MATCH(A16,'2 Measurements'!$A$2:$A$201,0))="Measurement",'Read me'!$B$9&amp;"/"&amp;INDEX('2 Assets'!$F$2:$F$201,MATCH(INDEX('2 Measurements'!$C$2:$C$201,MATCH(A16,'2 Measurements'!$A$2:$A$201,0)),'2 Assets'!$A$2:$A$201,0))&amp;"/"&amp;INDEX('2 Measurements'!$F$2:$F$201,MATCH(A16,'2 Measurements'!$A$2:$A$201,0)),'Read me'!$B$10&amp;"/"&amp;IFERROR(IF(INDEX('2 Assets'!$E$2:$E$201,MATCH(INDEX('2 Assets'!$M$2:$M$201,MATCH(INDEX('2 Measurements'!$C$2:$C$201,MATCH(A16,'2 Measurements'!$A$2:$A$201,0)),'2 Assets'!$A$2:$A$201,0)),'2 Assets'!$A$2:$A$201,0))="",INDEX('2 Assets'!$M$2:$M$201,MATCH(INDEX('2 Measurements'!$C$2:$C$201,MATCH(A16,'2 Measurements'!$A$2:$A$201,0)),'2 Assets'!$A$2:$A$201,0)),INDEX('2 Assets'!$E$2:$E$201,MATCH(INDEX('2 Assets'!$M$2:$M$201,MATCH(INDEX('2 Measurements'!$C$2:$C$201,MATCH(A16,'2 Measurements'!$A$2:$A$201,0)),'2 Assets'!$A$2:$A$201,0)),'2 Assets'!$A$2:$A$201,0))),INDEX('2 Assets'!$M$2:$M$201,MATCH(INDEX('2 Measurements'!$C$2:$C$201,MATCH(A16,'2 Measurements'!$A$2:$A$201,0)),'2 Assets'!$A$2:$A$201,0)))&amp;"/"&amp;INDEX('2 Measurements'!$C$2:$C$201,MATCH(A16,'2 Measurements'!$A$2:$A$201,0))&amp;"/"&amp;INDEX('2 Measurements'!$F$2:$F$201,MATCH(A16,'2 Measurements'!$A$2:$A$201,0))),""))</f>
        <v/>
      </c>
      <c r="E16" s="10" t="str">
        <f aca="false">IF(A16="","",IF(SUMPRODUCT(--EXACT('2 Measurements'!$A$2:$A$201,A16))=0,"Not on the Measurements sheet",IF(SUMPRODUCT(--EXACT($A$2:$A$201,A16))&gt;1,"Listed twice",IF(D16="","Topic could not be built: check the asset and the measurement",IF(COUNTIF($D$2:$D$201,D16)&gt;1,"Topic used twice","ok")))))</f>
        <v/>
      </c>
    </row>
    <row r="17" customFormat="false" ht="15" hidden="false" customHeight="false" outlineLevel="0" collapsed="false">
      <c r="A17" s="9"/>
      <c r="B17" s="9"/>
      <c r="C17" s="9"/>
      <c r="D17" s="10" t="str">
        <f aca="false">IF(A17="","",IFERROR(IF(INDEX('2 Measurements'!$B$2:$B$201,MATCH(A17,'2 Measurements'!$A$2:$A$201,0))="Measurement",'Read me'!$B$9&amp;"/"&amp;INDEX('2 Assets'!$F$2:$F$201,MATCH(INDEX('2 Measurements'!$C$2:$C$201,MATCH(A17,'2 Measurements'!$A$2:$A$201,0)),'2 Assets'!$A$2:$A$201,0))&amp;"/"&amp;INDEX('2 Measurements'!$F$2:$F$201,MATCH(A17,'2 Measurements'!$A$2:$A$201,0)),'Read me'!$B$10&amp;"/"&amp;IFERROR(IF(INDEX('2 Assets'!$E$2:$E$201,MATCH(INDEX('2 Assets'!$M$2:$M$201,MATCH(INDEX('2 Measurements'!$C$2:$C$201,MATCH(A17,'2 Measurements'!$A$2:$A$201,0)),'2 Assets'!$A$2:$A$201,0)),'2 Assets'!$A$2:$A$201,0))="",INDEX('2 Assets'!$M$2:$M$201,MATCH(INDEX('2 Measurements'!$C$2:$C$201,MATCH(A17,'2 Measurements'!$A$2:$A$201,0)),'2 Assets'!$A$2:$A$201,0)),INDEX('2 Assets'!$E$2:$E$201,MATCH(INDEX('2 Assets'!$M$2:$M$201,MATCH(INDEX('2 Measurements'!$C$2:$C$201,MATCH(A17,'2 Measurements'!$A$2:$A$201,0)),'2 Assets'!$A$2:$A$201,0)),'2 Assets'!$A$2:$A$201,0))),INDEX('2 Assets'!$M$2:$M$201,MATCH(INDEX('2 Measurements'!$C$2:$C$201,MATCH(A17,'2 Measurements'!$A$2:$A$201,0)),'2 Assets'!$A$2:$A$201,0)))&amp;"/"&amp;INDEX('2 Measurements'!$C$2:$C$201,MATCH(A17,'2 Measurements'!$A$2:$A$201,0))&amp;"/"&amp;INDEX('2 Measurements'!$F$2:$F$201,MATCH(A17,'2 Measurements'!$A$2:$A$201,0))),""))</f>
        <v/>
      </c>
      <c r="E17" s="10" t="str">
        <f aca="false">IF(A17="","",IF(SUMPRODUCT(--EXACT('2 Measurements'!$A$2:$A$201,A17))=0,"Not on the Measurements sheet",IF(SUMPRODUCT(--EXACT($A$2:$A$201,A17))&gt;1,"Listed twice",IF(D17="","Topic could not be built: check the asset and the measurement",IF(COUNTIF($D$2:$D$201,D17)&gt;1,"Topic used twice","ok")))))</f>
        <v/>
      </c>
    </row>
    <row r="18" customFormat="false" ht="15" hidden="false" customHeight="false" outlineLevel="0" collapsed="false">
      <c r="A18" s="9"/>
      <c r="B18" s="9"/>
      <c r="C18" s="9"/>
      <c r="D18" s="10" t="str">
        <f aca="false">IF(A18="","",IFERROR(IF(INDEX('2 Measurements'!$B$2:$B$201,MATCH(A18,'2 Measurements'!$A$2:$A$201,0))="Measurement",'Read me'!$B$9&amp;"/"&amp;INDEX('2 Assets'!$F$2:$F$201,MATCH(INDEX('2 Measurements'!$C$2:$C$201,MATCH(A18,'2 Measurements'!$A$2:$A$201,0)),'2 Assets'!$A$2:$A$201,0))&amp;"/"&amp;INDEX('2 Measurements'!$F$2:$F$201,MATCH(A18,'2 Measurements'!$A$2:$A$201,0)),'Read me'!$B$10&amp;"/"&amp;IFERROR(IF(INDEX('2 Assets'!$E$2:$E$201,MATCH(INDEX('2 Assets'!$M$2:$M$201,MATCH(INDEX('2 Measurements'!$C$2:$C$201,MATCH(A18,'2 Measurements'!$A$2:$A$201,0)),'2 Assets'!$A$2:$A$201,0)),'2 Assets'!$A$2:$A$201,0))="",INDEX('2 Assets'!$M$2:$M$201,MATCH(INDEX('2 Measurements'!$C$2:$C$201,MATCH(A18,'2 Measurements'!$A$2:$A$201,0)),'2 Assets'!$A$2:$A$201,0)),INDEX('2 Assets'!$E$2:$E$201,MATCH(INDEX('2 Assets'!$M$2:$M$201,MATCH(INDEX('2 Measurements'!$C$2:$C$201,MATCH(A18,'2 Measurements'!$A$2:$A$201,0)),'2 Assets'!$A$2:$A$201,0)),'2 Assets'!$A$2:$A$201,0))),INDEX('2 Assets'!$M$2:$M$201,MATCH(INDEX('2 Measurements'!$C$2:$C$201,MATCH(A18,'2 Measurements'!$A$2:$A$201,0)),'2 Assets'!$A$2:$A$201,0)))&amp;"/"&amp;INDEX('2 Measurements'!$C$2:$C$201,MATCH(A18,'2 Measurements'!$A$2:$A$201,0))&amp;"/"&amp;INDEX('2 Measurements'!$F$2:$F$201,MATCH(A18,'2 Measurements'!$A$2:$A$201,0))),""))</f>
        <v/>
      </c>
      <c r="E18" s="10" t="str">
        <f aca="false">IF(A18="","",IF(SUMPRODUCT(--EXACT('2 Measurements'!$A$2:$A$201,A18))=0,"Not on the Measurements sheet",IF(SUMPRODUCT(--EXACT($A$2:$A$201,A18))&gt;1,"Listed twice",IF(D18="","Topic could not be built: check the asset and the measurement",IF(COUNTIF($D$2:$D$201,D18)&gt;1,"Topic used twice","ok")))))</f>
        <v/>
      </c>
    </row>
    <row r="19" customFormat="false" ht="15" hidden="false" customHeight="false" outlineLevel="0" collapsed="false">
      <c r="A19" s="9"/>
      <c r="B19" s="9"/>
      <c r="C19" s="9"/>
      <c r="D19" s="10" t="str">
        <f aca="false">IF(A19="","",IFERROR(IF(INDEX('2 Measurements'!$B$2:$B$201,MATCH(A19,'2 Measurements'!$A$2:$A$201,0))="Measurement",'Read me'!$B$9&amp;"/"&amp;INDEX('2 Assets'!$F$2:$F$201,MATCH(INDEX('2 Measurements'!$C$2:$C$201,MATCH(A19,'2 Measurements'!$A$2:$A$201,0)),'2 Assets'!$A$2:$A$201,0))&amp;"/"&amp;INDEX('2 Measurements'!$F$2:$F$201,MATCH(A19,'2 Measurements'!$A$2:$A$201,0)),'Read me'!$B$10&amp;"/"&amp;IFERROR(IF(INDEX('2 Assets'!$E$2:$E$201,MATCH(INDEX('2 Assets'!$M$2:$M$201,MATCH(INDEX('2 Measurements'!$C$2:$C$201,MATCH(A19,'2 Measurements'!$A$2:$A$201,0)),'2 Assets'!$A$2:$A$201,0)),'2 Assets'!$A$2:$A$201,0))="",INDEX('2 Assets'!$M$2:$M$201,MATCH(INDEX('2 Measurements'!$C$2:$C$201,MATCH(A19,'2 Measurements'!$A$2:$A$201,0)),'2 Assets'!$A$2:$A$201,0)),INDEX('2 Assets'!$E$2:$E$201,MATCH(INDEX('2 Assets'!$M$2:$M$201,MATCH(INDEX('2 Measurements'!$C$2:$C$201,MATCH(A19,'2 Measurements'!$A$2:$A$201,0)),'2 Assets'!$A$2:$A$201,0)),'2 Assets'!$A$2:$A$201,0))),INDEX('2 Assets'!$M$2:$M$201,MATCH(INDEX('2 Measurements'!$C$2:$C$201,MATCH(A19,'2 Measurements'!$A$2:$A$201,0)),'2 Assets'!$A$2:$A$201,0)))&amp;"/"&amp;INDEX('2 Measurements'!$C$2:$C$201,MATCH(A19,'2 Measurements'!$A$2:$A$201,0))&amp;"/"&amp;INDEX('2 Measurements'!$F$2:$F$201,MATCH(A19,'2 Measurements'!$A$2:$A$201,0))),""))</f>
        <v/>
      </c>
      <c r="E19" s="10" t="str">
        <f aca="false">IF(A19="","",IF(SUMPRODUCT(--EXACT('2 Measurements'!$A$2:$A$201,A19))=0,"Not on the Measurements sheet",IF(SUMPRODUCT(--EXACT($A$2:$A$201,A19))&gt;1,"Listed twice",IF(D19="","Topic could not be built: check the asset and the measurement",IF(COUNTIF($D$2:$D$201,D19)&gt;1,"Topic used twice","ok")))))</f>
        <v/>
      </c>
    </row>
    <row r="20" customFormat="false" ht="15" hidden="false" customHeight="false" outlineLevel="0" collapsed="false">
      <c r="A20" s="9"/>
      <c r="B20" s="9"/>
      <c r="C20" s="9"/>
      <c r="D20" s="10" t="str">
        <f aca="false">IF(A20="","",IFERROR(IF(INDEX('2 Measurements'!$B$2:$B$201,MATCH(A20,'2 Measurements'!$A$2:$A$201,0))="Measurement",'Read me'!$B$9&amp;"/"&amp;INDEX('2 Assets'!$F$2:$F$201,MATCH(INDEX('2 Measurements'!$C$2:$C$201,MATCH(A20,'2 Measurements'!$A$2:$A$201,0)),'2 Assets'!$A$2:$A$201,0))&amp;"/"&amp;INDEX('2 Measurements'!$F$2:$F$201,MATCH(A20,'2 Measurements'!$A$2:$A$201,0)),'Read me'!$B$10&amp;"/"&amp;IFERROR(IF(INDEX('2 Assets'!$E$2:$E$201,MATCH(INDEX('2 Assets'!$M$2:$M$201,MATCH(INDEX('2 Measurements'!$C$2:$C$201,MATCH(A20,'2 Measurements'!$A$2:$A$201,0)),'2 Assets'!$A$2:$A$201,0)),'2 Assets'!$A$2:$A$201,0))="",INDEX('2 Assets'!$M$2:$M$201,MATCH(INDEX('2 Measurements'!$C$2:$C$201,MATCH(A20,'2 Measurements'!$A$2:$A$201,0)),'2 Assets'!$A$2:$A$201,0)),INDEX('2 Assets'!$E$2:$E$201,MATCH(INDEX('2 Assets'!$M$2:$M$201,MATCH(INDEX('2 Measurements'!$C$2:$C$201,MATCH(A20,'2 Measurements'!$A$2:$A$201,0)),'2 Assets'!$A$2:$A$201,0)),'2 Assets'!$A$2:$A$201,0))),INDEX('2 Assets'!$M$2:$M$201,MATCH(INDEX('2 Measurements'!$C$2:$C$201,MATCH(A20,'2 Measurements'!$A$2:$A$201,0)),'2 Assets'!$A$2:$A$201,0)))&amp;"/"&amp;INDEX('2 Measurements'!$C$2:$C$201,MATCH(A20,'2 Measurements'!$A$2:$A$201,0))&amp;"/"&amp;INDEX('2 Measurements'!$F$2:$F$201,MATCH(A20,'2 Measurements'!$A$2:$A$201,0))),""))</f>
        <v/>
      </c>
      <c r="E20" s="10" t="str">
        <f aca="false">IF(A20="","",IF(SUMPRODUCT(--EXACT('2 Measurements'!$A$2:$A$201,A20))=0,"Not on the Measurements sheet",IF(SUMPRODUCT(--EXACT($A$2:$A$201,A20))&gt;1,"Listed twice",IF(D20="","Topic could not be built: check the asset and the measurement",IF(COUNTIF($D$2:$D$201,D20)&gt;1,"Topic used twice","ok")))))</f>
        <v/>
      </c>
    </row>
    <row r="21" customFormat="false" ht="15" hidden="false" customHeight="false" outlineLevel="0" collapsed="false">
      <c r="A21" s="9"/>
      <c r="B21" s="9"/>
      <c r="C21" s="9"/>
      <c r="D21" s="10" t="str">
        <f aca="false">IF(A21="","",IFERROR(IF(INDEX('2 Measurements'!$B$2:$B$201,MATCH(A21,'2 Measurements'!$A$2:$A$201,0))="Measurement",'Read me'!$B$9&amp;"/"&amp;INDEX('2 Assets'!$F$2:$F$201,MATCH(INDEX('2 Measurements'!$C$2:$C$201,MATCH(A21,'2 Measurements'!$A$2:$A$201,0)),'2 Assets'!$A$2:$A$201,0))&amp;"/"&amp;INDEX('2 Measurements'!$F$2:$F$201,MATCH(A21,'2 Measurements'!$A$2:$A$201,0)),'Read me'!$B$10&amp;"/"&amp;IFERROR(IF(INDEX('2 Assets'!$E$2:$E$201,MATCH(INDEX('2 Assets'!$M$2:$M$201,MATCH(INDEX('2 Measurements'!$C$2:$C$201,MATCH(A21,'2 Measurements'!$A$2:$A$201,0)),'2 Assets'!$A$2:$A$201,0)),'2 Assets'!$A$2:$A$201,0))="",INDEX('2 Assets'!$M$2:$M$201,MATCH(INDEX('2 Measurements'!$C$2:$C$201,MATCH(A21,'2 Measurements'!$A$2:$A$201,0)),'2 Assets'!$A$2:$A$201,0)),INDEX('2 Assets'!$E$2:$E$201,MATCH(INDEX('2 Assets'!$M$2:$M$201,MATCH(INDEX('2 Measurements'!$C$2:$C$201,MATCH(A21,'2 Measurements'!$A$2:$A$201,0)),'2 Assets'!$A$2:$A$201,0)),'2 Assets'!$A$2:$A$201,0))),INDEX('2 Assets'!$M$2:$M$201,MATCH(INDEX('2 Measurements'!$C$2:$C$201,MATCH(A21,'2 Measurements'!$A$2:$A$201,0)),'2 Assets'!$A$2:$A$201,0)))&amp;"/"&amp;INDEX('2 Measurements'!$C$2:$C$201,MATCH(A21,'2 Measurements'!$A$2:$A$201,0))&amp;"/"&amp;INDEX('2 Measurements'!$F$2:$F$201,MATCH(A21,'2 Measurements'!$A$2:$A$201,0))),""))</f>
        <v/>
      </c>
      <c r="E21" s="10" t="str">
        <f aca="false">IF(A21="","",IF(SUMPRODUCT(--EXACT('2 Measurements'!$A$2:$A$201,A21))=0,"Not on the Measurements sheet",IF(SUMPRODUCT(--EXACT($A$2:$A$201,A21))&gt;1,"Listed twice",IF(D21="","Topic could not be built: check the asset and the measurement",IF(COUNTIF($D$2:$D$201,D21)&gt;1,"Topic used twice","ok")))))</f>
        <v/>
      </c>
    </row>
    <row r="22" customFormat="false" ht="15" hidden="false" customHeight="false" outlineLevel="0" collapsed="false">
      <c r="A22" s="9"/>
      <c r="B22" s="9"/>
      <c r="C22" s="9"/>
      <c r="D22" s="10" t="str">
        <f aca="false">IF(A22="","",IFERROR(IF(INDEX('2 Measurements'!$B$2:$B$201,MATCH(A22,'2 Measurements'!$A$2:$A$201,0))="Measurement",'Read me'!$B$9&amp;"/"&amp;INDEX('2 Assets'!$F$2:$F$201,MATCH(INDEX('2 Measurements'!$C$2:$C$201,MATCH(A22,'2 Measurements'!$A$2:$A$201,0)),'2 Assets'!$A$2:$A$201,0))&amp;"/"&amp;INDEX('2 Measurements'!$F$2:$F$201,MATCH(A22,'2 Measurements'!$A$2:$A$201,0)),'Read me'!$B$10&amp;"/"&amp;IFERROR(IF(INDEX('2 Assets'!$E$2:$E$201,MATCH(INDEX('2 Assets'!$M$2:$M$201,MATCH(INDEX('2 Measurements'!$C$2:$C$201,MATCH(A22,'2 Measurements'!$A$2:$A$201,0)),'2 Assets'!$A$2:$A$201,0)),'2 Assets'!$A$2:$A$201,0))="",INDEX('2 Assets'!$M$2:$M$201,MATCH(INDEX('2 Measurements'!$C$2:$C$201,MATCH(A22,'2 Measurements'!$A$2:$A$201,0)),'2 Assets'!$A$2:$A$201,0)),INDEX('2 Assets'!$E$2:$E$201,MATCH(INDEX('2 Assets'!$M$2:$M$201,MATCH(INDEX('2 Measurements'!$C$2:$C$201,MATCH(A22,'2 Measurements'!$A$2:$A$201,0)),'2 Assets'!$A$2:$A$201,0)),'2 Assets'!$A$2:$A$201,0))),INDEX('2 Assets'!$M$2:$M$201,MATCH(INDEX('2 Measurements'!$C$2:$C$201,MATCH(A22,'2 Measurements'!$A$2:$A$201,0)),'2 Assets'!$A$2:$A$201,0)))&amp;"/"&amp;INDEX('2 Measurements'!$C$2:$C$201,MATCH(A22,'2 Measurements'!$A$2:$A$201,0))&amp;"/"&amp;INDEX('2 Measurements'!$F$2:$F$201,MATCH(A22,'2 Measurements'!$A$2:$A$201,0))),""))</f>
        <v/>
      </c>
      <c r="E22" s="10" t="str">
        <f aca="false">IF(A22="","",IF(SUMPRODUCT(--EXACT('2 Measurements'!$A$2:$A$201,A22))=0,"Not on the Measurements sheet",IF(SUMPRODUCT(--EXACT($A$2:$A$201,A22))&gt;1,"Listed twice",IF(D22="","Topic could not be built: check the asset and the measurement",IF(COUNTIF($D$2:$D$201,D22)&gt;1,"Topic used twice","ok")))))</f>
        <v/>
      </c>
    </row>
    <row r="23" customFormat="false" ht="15" hidden="false" customHeight="false" outlineLevel="0" collapsed="false">
      <c r="A23" s="9"/>
      <c r="B23" s="9"/>
      <c r="C23" s="9"/>
      <c r="D23" s="10" t="str">
        <f aca="false">IF(A23="","",IFERROR(IF(INDEX('2 Measurements'!$B$2:$B$201,MATCH(A23,'2 Measurements'!$A$2:$A$201,0))="Measurement",'Read me'!$B$9&amp;"/"&amp;INDEX('2 Assets'!$F$2:$F$201,MATCH(INDEX('2 Measurements'!$C$2:$C$201,MATCH(A23,'2 Measurements'!$A$2:$A$201,0)),'2 Assets'!$A$2:$A$201,0))&amp;"/"&amp;INDEX('2 Measurements'!$F$2:$F$201,MATCH(A23,'2 Measurements'!$A$2:$A$201,0)),'Read me'!$B$10&amp;"/"&amp;IFERROR(IF(INDEX('2 Assets'!$E$2:$E$201,MATCH(INDEX('2 Assets'!$M$2:$M$201,MATCH(INDEX('2 Measurements'!$C$2:$C$201,MATCH(A23,'2 Measurements'!$A$2:$A$201,0)),'2 Assets'!$A$2:$A$201,0)),'2 Assets'!$A$2:$A$201,0))="",INDEX('2 Assets'!$M$2:$M$201,MATCH(INDEX('2 Measurements'!$C$2:$C$201,MATCH(A23,'2 Measurements'!$A$2:$A$201,0)),'2 Assets'!$A$2:$A$201,0)),INDEX('2 Assets'!$E$2:$E$201,MATCH(INDEX('2 Assets'!$M$2:$M$201,MATCH(INDEX('2 Measurements'!$C$2:$C$201,MATCH(A23,'2 Measurements'!$A$2:$A$201,0)),'2 Assets'!$A$2:$A$201,0)),'2 Assets'!$A$2:$A$201,0))),INDEX('2 Assets'!$M$2:$M$201,MATCH(INDEX('2 Measurements'!$C$2:$C$201,MATCH(A23,'2 Measurements'!$A$2:$A$201,0)),'2 Assets'!$A$2:$A$201,0)))&amp;"/"&amp;INDEX('2 Measurements'!$C$2:$C$201,MATCH(A23,'2 Measurements'!$A$2:$A$201,0))&amp;"/"&amp;INDEX('2 Measurements'!$F$2:$F$201,MATCH(A23,'2 Measurements'!$A$2:$A$201,0))),""))</f>
        <v/>
      </c>
      <c r="E23" s="10" t="str">
        <f aca="false">IF(A23="","",IF(SUMPRODUCT(--EXACT('2 Measurements'!$A$2:$A$201,A23))=0,"Not on the Measurements sheet",IF(SUMPRODUCT(--EXACT($A$2:$A$201,A23))&gt;1,"Listed twice",IF(D23="","Topic could not be built: check the asset and the measurement",IF(COUNTIF($D$2:$D$201,D23)&gt;1,"Topic used twice","ok")))))</f>
        <v/>
      </c>
    </row>
    <row r="24" customFormat="false" ht="15" hidden="false" customHeight="false" outlineLevel="0" collapsed="false">
      <c r="A24" s="9"/>
      <c r="B24" s="9"/>
      <c r="C24" s="9"/>
      <c r="D24" s="10" t="str">
        <f aca="false">IF(A24="","",IFERROR(IF(INDEX('2 Measurements'!$B$2:$B$201,MATCH(A24,'2 Measurements'!$A$2:$A$201,0))="Measurement",'Read me'!$B$9&amp;"/"&amp;INDEX('2 Assets'!$F$2:$F$201,MATCH(INDEX('2 Measurements'!$C$2:$C$201,MATCH(A24,'2 Measurements'!$A$2:$A$201,0)),'2 Assets'!$A$2:$A$201,0))&amp;"/"&amp;INDEX('2 Measurements'!$F$2:$F$201,MATCH(A24,'2 Measurements'!$A$2:$A$201,0)),'Read me'!$B$10&amp;"/"&amp;IFERROR(IF(INDEX('2 Assets'!$E$2:$E$201,MATCH(INDEX('2 Assets'!$M$2:$M$201,MATCH(INDEX('2 Measurements'!$C$2:$C$201,MATCH(A24,'2 Measurements'!$A$2:$A$201,0)),'2 Assets'!$A$2:$A$201,0)),'2 Assets'!$A$2:$A$201,0))="",INDEX('2 Assets'!$M$2:$M$201,MATCH(INDEX('2 Measurements'!$C$2:$C$201,MATCH(A24,'2 Measurements'!$A$2:$A$201,0)),'2 Assets'!$A$2:$A$201,0)),INDEX('2 Assets'!$E$2:$E$201,MATCH(INDEX('2 Assets'!$M$2:$M$201,MATCH(INDEX('2 Measurements'!$C$2:$C$201,MATCH(A24,'2 Measurements'!$A$2:$A$201,0)),'2 Assets'!$A$2:$A$201,0)),'2 Assets'!$A$2:$A$201,0))),INDEX('2 Assets'!$M$2:$M$201,MATCH(INDEX('2 Measurements'!$C$2:$C$201,MATCH(A24,'2 Measurements'!$A$2:$A$201,0)),'2 Assets'!$A$2:$A$201,0)))&amp;"/"&amp;INDEX('2 Measurements'!$C$2:$C$201,MATCH(A24,'2 Measurements'!$A$2:$A$201,0))&amp;"/"&amp;INDEX('2 Measurements'!$F$2:$F$201,MATCH(A24,'2 Measurements'!$A$2:$A$201,0))),""))</f>
        <v/>
      </c>
      <c r="E24" s="10" t="str">
        <f aca="false">IF(A24="","",IF(SUMPRODUCT(--EXACT('2 Measurements'!$A$2:$A$201,A24))=0,"Not on the Measurements sheet",IF(SUMPRODUCT(--EXACT($A$2:$A$201,A24))&gt;1,"Listed twice",IF(D24="","Topic could not be built: check the asset and the measurement",IF(COUNTIF($D$2:$D$201,D24)&gt;1,"Topic used twice","ok")))))</f>
        <v/>
      </c>
    </row>
    <row r="25" customFormat="false" ht="15" hidden="false" customHeight="false" outlineLevel="0" collapsed="false">
      <c r="A25" s="9"/>
      <c r="B25" s="9"/>
      <c r="C25" s="9"/>
      <c r="D25" s="10" t="str">
        <f aca="false">IF(A25="","",IFERROR(IF(INDEX('2 Measurements'!$B$2:$B$201,MATCH(A25,'2 Measurements'!$A$2:$A$201,0))="Measurement",'Read me'!$B$9&amp;"/"&amp;INDEX('2 Assets'!$F$2:$F$201,MATCH(INDEX('2 Measurements'!$C$2:$C$201,MATCH(A25,'2 Measurements'!$A$2:$A$201,0)),'2 Assets'!$A$2:$A$201,0))&amp;"/"&amp;INDEX('2 Measurements'!$F$2:$F$201,MATCH(A25,'2 Measurements'!$A$2:$A$201,0)),'Read me'!$B$10&amp;"/"&amp;IFERROR(IF(INDEX('2 Assets'!$E$2:$E$201,MATCH(INDEX('2 Assets'!$M$2:$M$201,MATCH(INDEX('2 Measurements'!$C$2:$C$201,MATCH(A25,'2 Measurements'!$A$2:$A$201,0)),'2 Assets'!$A$2:$A$201,0)),'2 Assets'!$A$2:$A$201,0))="",INDEX('2 Assets'!$M$2:$M$201,MATCH(INDEX('2 Measurements'!$C$2:$C$201,MATCH(A25,'2 Measurements'!$A$2:$A$201,0)),'2 Assets'!$A$2:$A$201,0)),INDEX('2 Assets'!$E$2:$E$201,MATCH(INDEX('2 Assets'!$M$2:$M$201,MATCH(INDEX('2 Measurements'!$C$2:$C$201,MATCH(A25,'2 Measurements'!$A$2:$A$201,0)),'2 Assets'!$A$2:$A$201,0)),'2 Assets'!$A$2:$A$201,0))),INDEX('2 Assets'!$M$2:$M$201,MATCH(INDEX('2 Measurements'!$C$2:$C$201,MATCH(A25,'2 Measurements'!$A$2:$A$201,0)),'2 Assets'!$A$2:$A$201,0)))&amp;"/"&amp;INDEX('2 Measurements'!$C$2:$C$201,MATCH(A25,'2 Measurements'!$A$2:$A$201,0))&amp;"/"&amp;INDEX('2 Measurements'!$F$2:$F$201,MATCH(A25,'2 Measurements'!$A$2:$A$201,0))),""))</f>
        <v/>
      </c>
      <c r="E25" s="10" t="str">
        <f aca="false">IF(A25="","",IF(SUMPRODUCT(--EXACT('2 Measurements'!$A$2:$A$201,A25))=0,"Not on the Measurements sheet",IF(SUMPRODUCT(--EXACT($A$2:$A$201,A25))&gt;1,"Listed twice",IF(D25="","Topic could not be built: check the asset and the measurement",IF(COUNTIF($D$2:$D$201,D25)&gt;1,"Topic used twice","ok")))))</f>
        <v/>
      </c>
    </row>
    <row r="26" customFormat="false" ht="15" hidden="false" customHeight="false" outlineLevel="0" collapsed="false">
      <c r="A26" s="9"/>
      <c r="B26" s="9"/>
      <c r="C26" s="9"/>
      <c r="D26" s="10" t="str">
        <f aca="false">IF(A26="","",IFERROR(IF(INDEX('2 Measurements'!$B$2:$B$201,MATCH(A26,'2 Measurements'!$A$2:$A$201,0))="Measurement",'Read me'!$B$9&amp;"/"&amp;INDEX('2 Assets'!$F$2:$F$201,MATCH(INDEX('2 Measurements'!$C$2:$C$201,MATCH(A26,'2 Measurements'!$A$2:$A$201,0)),'2 Assets'!$A$2:$A$201,0))&amp;"/"&amp;INDEX('2 Measurements'!$F$2:$F$201,MATCH(A26,'2 Measurements'!$A$2:$A$201,0)),'Read me'!$B$10&amp;"/"&amp;IFERROR(IF(INDEX('2 Assets'!$E$2:$E$201,MATCH(INDEX('2 Assets'!$M$2:$M$201,MATCH(INDEX('2 Measurements'!$C$2:$C$201,MATCH(A26,'2 Measurements'!$A$2:$A$201,0)),'2 Assets'!$A$2:$A$201,0)),'2 Assets'!$A$2:$A$201,0))="",INDEX('2 Assets'!$M$2:$M$201,MATCH(INDEX('2 Measurements'!$C$2:$C$201,MATCH(A26,'2 Measurements'!$A$2:$A$201,0)),'2 Assets'!$A$2:$A$201,0)),INDEX('2 Assets'!$E$2:$E$201,MATCH(INDEX('2 Assets'!$M$2:$M$201,MATCH(INDEX('2 Measurements'!$C$2:$C$201,MATCH(A26,'2 Measurements'!$A$2:$A$201,0)),'2 Assets'!$A$2:$A$201,0)),'2 Assets'!$A$2:$A$201,0))),INDEX('2 Assets'!$M$2:$M$201,MATCH(INDEX('2 Measurements'!$C$2:$C$201,MATCH(A26,'2 Measurements'!$A$2:$A$201,0)),'2 Assets'!$A$2:$A$201,0)))&amp;"/"&amp;INDEX('2 Measurements'!$C$2:$C$201,MATCH(A26,'2 Measurements'!$A$2:$A$201,0))&amp;"/"&amp;INDEX('2 Measurements'!$F$2:$F$201,MATCH(A26,'2 Measurements'!$A$2:$A$201,0))),""))</f>
        <v/>
      </c>
      <c r="E26" s="10" t="str">
        <f aca="false">IF(A26="","",IF(SUMPRODUCT(--EXACT('2 Measurements'!$A$2:$A$201,A26))=0,"Not on the Measurements sheet",IF(SUMPRODUCT(--EXACT($A$2:$A$201,A26))&gt;1,"Listed twice",IF(D26="","Topic could not be built: check the asset and the measurement",IF(COUNTIF($D$2:$D$201,D26)&gt;1,"Topic used twice","ok")))))</f>
        <v/>
      </c>
    </row>
    <row r="27" customFormat="false" ht="15" hidden="false" customHeight="false" outlineLevel="0" collapsed="false">
      <c r="A27" s="9"/>
      <c r="B27" s="9"/>
      <c r="C27" s="9"/>
      <c r="D27" s="10" t="str">
        <f aca="false">IF(A27="","",IFERROR(IF(INDEX('2 Measurements'!$B$2:$B$201,MATCH(A27,'2 Measurements'!$A$2:$A$201,0))="Measurement",'Read me'!$B$9&amp;"/"&amp;INDEX('2 Assets'!$F$2:$F$201,MATCH(INDEX('2 Measurements'!$C$2:$C$201,MATCH(A27,'2 Measurements'!$A$2:$A$201,0)),'2 Assets'!$A$2:$A$201,0))&amp;"/"&amp;INDEX('2 Measurements'!$F$2:$F$201,MATCH(A27,'2 Measurements'!$A$2:$A$201,0)),'Read me'!$B$10&amp;"/"&amp;IFERROR(IF(INDEX('2 Assets'!$E$2:$E$201,MATCH(INDEX('2 Assets'!$M$2:$M$201,MATCH(INDEX('2 Measurements'!$C$2:$C$201,MATCH(A27,'2 Measurements'!$A$2:$A$201,0)),'2 Assets'!$A$2:$A$201,0)),'2 Assets'!$A$2:$A$201,0))="",INDEX('2 Assets'!$M$2:$M$201,MATCH(INDEX('2 Measurements'!$C$2:$C$201,MATCH(A27,'2 Measurements'!$A$2:$A$201,0)),'2 Assets'!$A$2:$A$201,0)),INDEX('2 Assets'!$E$2:$E$201,MATCH(INDEX('2 Assets'!$M$2:$M$201,MATCH(INDEX('2 Measurements'!$C$2:$C$201,MATCH(A27,'2 Measurements'!$A$2:$A$201,0)),'2 Assets'!$A$2:$A$201,0)),'2 Assets'!$A$2:$A$201,0))),INDEX('2 Assets'!$M$2:$M$201,MATCH(INDEX('2 Measurements'!$C$2:$C$201,MATCH(A27,'2 Measurements'!$A$2:$A$201,0)),'2 Assets'!$A$2:$A$201,0)))&amp;"/"&amp;INDEX('2 Measurements'!$C$2:$C$201,MATCH(A27,'2 Measurements'!$A$2:$A$201,0))&amp;"/"&amp;INDEX('2 Measurements'!$F$2:$F$201,MATCH(A27,'2 Measurements'!$A$2:$A$201,0))),""))</f>
        <v/>
      </c>
      <c r="E27" s="10" t="str">
        <f aca="false">IF(A27="","",IF(SUMPRODUCT(--EXACT('2 Measurements'!$A$2:$A$201,A27))=0,"Not on the Measurements sheet",IF(SUMPRODUCT(--EXACT($A$2:$A$201,A27))&gt;1,"Listed twice",IF(D27="","Topic could not be built: check the asset and the measurement",IF(COUNTIF($D$2:$D$201,D27)&gt;1,"Topic used twice","ok")))))</f>
        <v/>
      </c>
    </row>
    <row r="28" customFormat="false" ht="15" hidden="false" customHeight="false" outlineLevel="0" collapsed="false">
      <c r="A28" s="9"/>
      <c r="B28" s="9"/>
      <c r="C28" s="9"/>
      <c r="D28" s="10" t="str">
        <f aca="false">IF(A28="","",IFERROR(IF(INDEX('2 Measurements'!$B$2:$B$201,MATCH(A28,'2 Measurements'!$A$2:$A$201,0))="Measurement",'Read me'!$B$9&amp;"/"&amp;INDEX('2 Assets'!$F$2:$F$201,MATCH(INDEX('2 Measurements'!$C$2:$C$201,MATCH(A28,'2 Measurements'!$A$2:$A$201,0)),'2 Assets'!$A$2:$A$201,0))&amp;"/"&amp;INDEX('2 Measurements'!$F$2:$F$201,MATCH(A28,'2 Measurements'!$A$2:$A$201,0)),'Read me'!$B$10&amp;"/"&amp;IFERROR(IF(INDEX('2 Assets'!$E$2:$E$201,MATCH(INDEX('2 Assets'!$M$2:$M$201,MATCH(INDEX('2 Measurements'!$C$2:$C$201,MATCH(A28,'2 Measurements'!$A$2:$A$201,0)),'2 Assets'!$A$2:$A$201,0)),'2 Assets'!$A$2:$A$201,0))="",INDEX('2 Assets'!$M$2:$M$201,MATCH(INDEX('2 Measurements'!$C$2:$C$201,MATCH(A28,'2 Measurements'!$A$2:$A$201,0)),'2 Assets'!$A$2:$A$201,0)),INDEX('2 Assets'!$E$2:$E$201,MATCH(INDEX('2 Assets'!$M$2:$M$201,MATCH(INDEX('2 Measurements'!$C$2:$C$201,MATCH(A28,'2 Measurements'!$A$2:$A$201,0)),'2 Assets'!$A$2:$A$201,0)),'2 Assets'!$A$2:$A$201,0))),INDEX('2 Assets'!$M$2:$M$201,MATCH(INDEX('2 Measurements'!$C$2:$C$201,MATCH(A28,'2 Measurements'!$A$2:$A$201,0)),'2 Assets'!$A$2:$A$201,0)))&amp;"/"&amp;INDEX('2 Measurements'!$C$2:$C$201,MATCH(A28,'2 Measurements'!$A$2:$A$201,0))&amp;"/"&amp;INDEX('2 Measurements'!$F$2:$F$201,MATCH(A28,'2 Measurements'!$A$2:$A$201,0))),""))</f>
        <v/>
      </c>
      <c r="E28" s="10" t="str">
        <f aca="false">IF(A28="","",IF(SUMPRODUCT(--EXACT('2 Measurements'!$A$2:$A$201,A28))=0,"Not on the Measurements sheet",IF(SUMPRODUCT(--EXACT($A$2:$A$201,A28))&gt;1,"Listed twice",IF(D28="","Topic could not be built: check the asset and the measurement",IF(COUNTIF($D$2:$D$201,D28)&gt;1,"Topic used twice","ok")))))</f>
        <v/>
      </c>
    </row>
    <row r="29" customFormat="false" ht="15" hidden="false" customHeight="false" outlineLevel="0" collapsed="false">
      <c r="A29" s="9"/>
      <c r="B29" s="9"/>
      <c r="C29" s="9"/>
      <c r="D29" s="10" t="str">
        <f aca="false">IF(A29="","",IFERROR(IF(INDEX('2 Measurements'!$B$2:$B$201,MATCH(A29,'2 Measurements'!$A$2:$A$201,0))="Measurement",'Read me'!$B$9&amp;"/"&amp;INDEX('2 Assets'!$F$2:$F$201,MATCH(INDEX('2 Measurements'!$C$2:$C$201,MATCH(A29,'2 Measurements'!$A$2:$A$201,0)),'2 Assets'!$A$2:$A$201,0))&amp;"/"&amp;INDEX('2 Measurements'!$F$2:$F$201,MATCH(A29,'2 Measurements'!$A$2:$A$201,0)),'Read me'!$B$10&amp;"/"&amp;IFERROR(IF(INDEX('2 Assets'!$E$2:$E$201,MATCH(INDEX('2 Assets'!$M$2:$M$201,MATCH(INDEX('2 Measurements'!$C$2:$C$201,MATCH(A29,'2 Measurements'!$A$2:$A$201,0)),'2 Assets'!$A$2:$A$201,0)),'2 Assets'!$A$2:$A$201,0))="",INDEX('2 Assets'!$M$2:$M$201,MATCH(INDEX('2 Measurements'!$C$2:$C$201,MATCH(A29,'2 Measurements'!$A$2:$A$201,0)),'2 Assets'!$A$2:$A$201,0)),INDEX('2 Assets'!$E$2:$E$201,MATCH(INDEX('2 Assets'!$M$2:$M$201,MATCH(INDEX('2 Measurements'!$C$2:$C$201,MATCH(A29,'2 Measurements'!$A$2:$A$201,0)),'2 Assets'!$A$2:$A$201,0)),'2 Assets'!$A$2:$A$201,0))),INDEX('2 Assets'!$M$2:$M$201,MATCH(INDEX('2 Measurements'!$C$2:$C$201,MATCH(A29,'2 Measurements'!$A$2:$A$201,0)),'2 Assets'!$A$2:$A$201,0)))&amp;"/"&amp;INDEX('2 Measurements'!$C$2:$C$201,MATCH(A29,'2 Measurements'!$A$2:$A$201,0))&amp;"/"&amp;INDEX('2 Measurements'!$F$2:$F$201,MATCH(A29,'2 Measurements'!$A$2:$A$201,0))),""))</f>
        <v/>
      </c>
      <c r="E29" s="10" t="str">
        <f aca="false">IF(A29="","",IF(SUMPRODUCT(--EXACT('2 Measurements'!$A$2:$A$201,A29))=0,"Not on the Measurements sheet",IF(SUMPRODUCT(--EXACT($A$2:$A$201,A29))&gt;1,"Listed twice",IF(D29="","Topic could not be built: check the asset and the measurement",IF(COUNTIF($D$2:$D$201,D29)&gt;1,"Topic used twice","ok")))))</f>
        <v/>
      </c>
    </row>
    <row r="30" customFormat="false" ht="15" hidden="false" customHeight="false" outlineLevel="0" collapsed="false">
      <c r="A30" s="9"/>
      <c r="B30" s="9"/>
      <c r="C30" s="9"/>
      <c r="D30" s="10" t="str">
        <f aca="false">IF(A30="","",IFERROR(IF(INDEX('2 Measurements'!$B$2:$B$201,MATCH(A30,'2 Measurements'!$A$2:$A$201,0))="Measurement",'Read me'!$B$9&amp;"/"&amp;INDEX('2 Assets'!$F$2:$F$201,MATCH(INDEX('2 Measurements'!$C$2:$C$201,MATCH(A30,'2 Measurements'!$A$2:$A$201,0)),'2 Assets'!$A$2:$A$201,0))&amp;"/"&amp;INDEX('2 Measurements'!$F$2:$F$201,MATCH(A30,'2 Measurements'!$A$2:$A$201,0)),'Read me'!$B$10&amp;"/"&amp;IFERROR(IF(INDEX('2 Assets'!$E$2:$E$201,MATCH(INDEX('2 Assets'!$M$2:$M$201,MATCH(INDEX('2 Measurements'!$C$2:$C$201,MATCH(A30,'2 Measurements'!$A$2:$A$201,0)),'2 Assets'!$A$2:$A$201,0)),'2 Assets'!$A$2:$A$201,0))="",INDEX('2 Assets'!$M$2:$M$201,MATCH(INDEX('2 Measurements'!$C$2:$C$201,MATCH(A30,'2 Measurements'!$A$2:$A$201,0)),'2 Assets'!$A$2:$A$201,0)),INDEX('2 Assets'!$E$2:$E$201,MATCH(INDEX('2 Assets'!$M$2:$M$201,MATCH(INDEX('2 Measurements'!$C$2:$C$201,MATCH(A30,'2 Measurements'!$A$2:$A$201,0)),'2 Assets'!$A$2:$A$201,0)),'2 Assets'!$A$2:$A$201,0))),INDEX('2 Assets'!$M$2:$M$201,MATCH(INDEX('2 Measurements'!$C$2:$C$201,MATCH(A30,'2 Measurements'!$A$2:$A$201,0)),'2 Assets'!$A$2:$A$201,0)))&amp;"/"&amp;INDEX('2 Measurements'!$C$2:$C$201,MATCH(A30,'2 Measurements'!$A$2:$A$201,0))&amp;"/"&amp;INDEX('2 Measurements'!$F$2:$F$201,MATCH(A30,'2 Measurements'!$A$2:$A$201,0))),""))</f>
        <v/>
      </c>
      <c r="E30" s="10" t="str">
        <f aca="false">IF(A30="","",IF(SUMPRODUCT(--EXACT('2 Measurements'!$A$2:$A$201,A30))=0,"Not on the Measurements sheet",IF(SUMPRODUCT(--EXACT($A$2:$A$201,A30))&gt;1,"Listed twice",IF(D30="","Topic could not be built: check the asset and the measurement",IF(COUNTIF($D$2:$D$201,D30)&gt;1,"Topic used twice","ok")))))</f>
        <v/>
      </c>
    </row>
    <row r="31" customFormat="false" ht="15" hidden="false" customHeight="false" outlineLevel="0" collapsed="false">
      <c r="A31" s="9"/>
      <c r="B31" s="9"/>
      <c r="C31" s="9"/>
      <c r="D31" s="10" t="str">
        <f aca="false">IF(A31="","",IFERROR(IF(INDEX('2 Measurements'!$B$2:$B$201,MATCH(A31,'2 Measurements'!$A$2:$A$201,0))="Measurement",'Read me'!$B$9&amp;"/"&amp;INDEX('2 Assets'!$F$2:$F$201,MATCH(INDEX('2 Measurements'!$C$2:$C$201,MATCH(A31,'2 Measurements'!$A$2:$A$201,0)),'2 Assets'!$A$2:$A$201,0))&amp;"/"&amp;INDEX('2 Measurements'!$F$2:$F$201,MATCH(A31,'2 Measurements'!$A$2:$A$201,0)),'Read me'!$B$10&amp;"/"&amp;IFERROR(IF(INDEX('2 Assets'!$E$2:$E$201,MATCH(INDEX('2 Assets'!$M$2:$M$201,MATCH(INDEX('2 Measurements'!$C$2:$C$201,MATCH(A31,'2 Measurements'!$A$2:$A$201,0)),'2 Assets'!$A$2:$A$201,0)),'2 Assets'!$A$2:$A$201,0))="",INDEX('2 Assets'!$M$2:$M$201,MATCH(INDEX('2 Measurements'!$C$2:$C$201,MATCH(A31,'2 Measurements'!$A$2:$A$201,0)),'2 Assets'!$A$2:$A$201,0)),INDEX('2 Assets'!$E$2:$E$201,MATCH(INDEX('2 Assets'!$M$2:$M$201,MATCH(INDEX('2 Measurements'!$C$2:$C$201,MATCH(A31,'2 Measurements'!$A$2:$A$201,0)),'2 Assets'!$A$2:$A$201,0)),'2 Assets'!$A$2:$A$201,0))),INDEX('2 Assets'!$M$2:$M$201,MATCH(INDEX('2 Measurements'!$C$2:$C$201,MATCH(A31,'2 Measurements'!$A$2:$A$201,0)),'2 Assets'!$A$2:$A$201,0)))&amp;"/"&amp;INDEX('2 Measurements'!$C$2:$C$201,MATCH(A31,'2 Measurements'!$A$2:$A$201,0))&amp;"/"&amp;INDEX('2 Measurements'!$F$2:$F$201,MATCH(A31,'2 Measurements'!$A$2:$A$201,0))),""))</f>
        <v/>
      </c>
      <c r="E31" s="10" t="str">
        <f aca="false">IF(A31="","",IF(SUMPRODUCT(--EXACT('2 Measurements'!$A$2:$A$201,A31))=0,"Not on the Measurements sheet",IF(SUMPRODUCT(--EXACT($A$2:$A$201,A31))&gt;1,"Listed twice",IF(D31="","Topic could not be built: check the asset and the measurement",IF(COUNTIF($D$2:$D$201,D31)&gt;1,"Topic used twice","ok")))))</f>
        <v/>
      </c>
    </row>
    <row r="32" customFormat="false" ht="15" hidden="false" customHeight="false" outlineLevel="0" collapsed="false">
      <c r="A32" s="9"/>
      <c r="B32" s="9"/>
      <c r="C32" s="9"/>
      <c r="D32" s="10" t="str">
        <f aca="false">IF(A32="","",IFERROR(IF(INDEX('2 Measurements'!$B$2:$B$201,MATCH(A32,'2 Measurements'!$A$2:$A$201,0))="Measurement",'Read me'!$B$9&amp;"/"&amp;INDEX('2 Assets'!$F$2:$F$201,MATCH(INDEX('2 Measurements'!$C$2:$C$201,MATCH(A32,'2 Measurements'!$A$2:$A$201,0)),'2 Assets'!$A$2:$A$201,0))&amp;"/"&amp;INDEX('2 Measurements'!$F$2:$F$201,MATCH(A32,'2 Measurements'!$A$2:$A$201,0)),'Read me'!$B$10&amp;"/"&amp;IFERROR(IF(INDEX('2 Assets'!$E$2:$E$201,MATCH(INDEX('2 Assets'!$M$2:$M$201,MATCH(INDEX('2 Measurements'!$C$2:$C$201,MATCH(A32,'2 Measurements'!$A$2:$A$201,0)),'2 Assets'!$A$2:$A$201,0)),'2 Assets'!$A$2:$A$201,0))="",INDEX('2 Assets'!$M$2:$M$201,MATCH(INDEX('2 Measurements'!$C$2:$C$201,MATCH(A32,'2 Measurements'!$A$2:$A$201,0)),'2 Assets'!$A$2:$A$201,0)),INDEX('2 Assets'!$E$2:$E$201,MATCH(INDEX('2 Assets'!$M$2:$M$201,MATCH(INDEX('2 Measurements'!$C$2:$C$201,MATCH(A32,'2 Measurements'!$A$2:$A$201,0)),'2 Assets'!$A$2:$A$201,0)),'2 Assets'!$A$2:$A$201,0))),INDEX('2 Assets'!$M$2:$M$201,MATCH(INDEX('2 Measurements'!$C$2:$C$201,MATCH(A32,'2 Measurements'!$A$2:$A$201,0)),'2 Assets'!$A$2:$A$201,0)))&amp;"/"&amp;INDEX('2 Measurements'!$C$2:$C$201,MATCH(A32,'2 Measurements'!$A$2:$A$201,0))&amp;"/"&amp;INDEX('2 Measurements'!$F$2:$F$201,MATCH(A32,'2 Measurements'!$A$2:$A$201,0))),""))</f>
        <v/>
      </c>
      <c r="E32" s="10" t="str">
        <f aca="false">IF(A32="","",IF(SUMPRODUCT(--EXACT('2 Measurements'!$A$2:$A$201,A32))=0,"Not on the Measurements sheet",IF(SUMPRODUCT(--EXACT($A$2:$A$201,A32))&gt;1,"Listed twice",IF(D32="","Topic could not be built: check the asset and the measurement",IF(COUNTIF($D$2:$D$201,D32)&gt;1,"Topic used twice","ok")))))</f>
        <v/>
      </c>
    </row>
    <row r="33" customFormat="false" ht="15" hidden="false" customHeight="false" outlineLevel="0" collapsed="false">
      <c r="A33" s="9"/>
      <c r="B33" s="9"/>
      <c r="C33" s="9"/>
      <c r="D33" s="10" t="str">
        <f aca="false">IF(A33="","",IFERROR(IF(INDEX('2 Measurements'!$B$2:$B$201,MATCH(A33,'2 Measurements'!$A$2:$A$201,0))="Measurement",'Read me'!$B$9&amp;"/"&amp;INDEX('2 Assets'!$F$2:$F$201,MATCH(INDEX('2 Measurements'!$C$2:$C$201,MATCH(A33,'2 Measurements'!$A$2:$A$201,0)),'2 Assets'!$A$2:$A$201,0))&amp;"/"&amp;INDEX('2 Measurements'!$F$2:$F$201,MATCH(A33,'2 Measurements'!$A$2:$A$201,0)),'Read me'!$B$10&amp;"/"&amp;IFERROR(IF(INDEX('2 Assets'!$E$2:$E$201,MATCH(INDEX('2 Assets'!$M$2:$M$201,MATCH(INDEX('2 Measurements'!$C$2:$C$201,MATCH(A33,'2 Measurements'!$A$2:$A$201,0)),'2 Assets'!$A$2:$A$201,0)),'2 Assets'!$A$2:$A$201,0))="",INDEX('2 Assets'!$M$2:$M$201,MATCH(INDEX('2 Measurements'!$C$2:$C$201,MATCH(A33,'2 Measurements'!$A$2:$A$201,0)),'2 Assets'!$A$2:$A$201,0)),INDEX('2 Assets'!$E$2:$E$201,MATCH(INDEX('2 Assets'!$M$2:$M$201,MATCH(INDEX('2 Measurements'!$C$2:$C$201,MATCH(A33,'2 Measurements'!$A$2:$A$201,0)),'2 Assets'!$A$2:$A$201,0)),'2 Assets'!$A$2:$A$201,0))),INDEX('2 Assets'!$M$2:$M$201,MATCH(INDEX('2 Measurements'!$C$2:$C$201,MATCH(A33,'2 Measurements'!$A$2:$A$201,0)),'2 Assets'!$A$2:$A$201,0)))&amp;"/"&amp;INDEX('2 Measurements'!$C$2:$C$201,MATCH(A33,'2 Measurements'!$A$2:$A$201,0))&amp;"/"&amp;INDEX('2 Measurements'!$F$2:$F$201,MATCH(A33,'2 Measurements'!$A$2:$A$201,0))),""))</f>
        <v/>
      </c>
      <c r="E33" s="10" t="str">
        <f aca="false">IF(A33="","",IF(SUMPRODUCT(--EXACT('2 Measurements'!$A$2:$A$201,A33))=0,"Not on the Measurements sheet",IF(SUMPRODUCT(--EXACT($A$2:$A$201,A33))&gt;1,"Listed twice",IF(D33="","Topic could not be built: check the asset and the measurement",IF(COUNTIF($D$2:$D$201,D33)&gt;1,"Topic used twice","ok")))))</f>
        <v/>
      </c>
    </row>
    <row r="34" customFormat="false" ht="15" hidden="false" customHeight="false" outlineLevel="0" collapsed="false">
      <c r="A34" s="9"/>
      <c r="B34" s="9"/>
      <c r="C34" s="9"/>
      <c r="D34" s="10" t="str">
        <f aca="false">IF(A34="","",IFERROR(IF(INDEX('2 Measurements'!$B$2:$B$201,MATCH(A34,'2 Measurements'!$A$2:$A$201,0))="Measurement",'Read me'!$B$9&amp;"/"&amp;INDEX('2 Assets'!$F$2:$F$201,MATCH(INDEX('2 Measurements'!$C$2:$C$201,MATCH(A34,'2 Measurements'!$A$2:$A$201,0)),'2 Assets'!$A$2:$A$201,0))&amp;"/"&amp;INDEX('2 Measurements'!$F$2:$F$201,MATCH(A34,'2 Measurements'!$A$2:$A$201,0)),'Read me'!$B$10&amp;"/"&amp;IFERROR(IF(INDEX('2 Assets'!$E$2:$E$201,MATCH(INDEX('2 Assets'!$M$2:$M$201,MATCH(INDEX('2 Measurements'!$C$2:$C$201,MATCH(A34,'2 Measurements'!$A$2:$A$201,0)),'2 Assets'!$A$2:$A$201,0)),'2 Assets'!$A$2:$A$201,0))="",INDEX('2 Assets'!$M$2:$M$201,MATCH(INDEX('2 Measurements'!$C$2:$C$201,MATCH(A34,'2 Measurements'!$A$2:$A$201,0)),'2 Assets'!$A$2:$A$201,0)),INDEX('2 Assets'!$E$2:$E$201,MATCH(INDEX('2 Assets'!$M$2:$M$201,MATCH(INDEX('2 Measurements'!$C$2:$C$201,MATCH(A34,'2 Measurements'!$A$2:$A$201,0)),'2 Assets'!$A$2:$A$201,0)),'2 Assets'!$A$2:$A$201,0))),INDEX('2 Assets'!$M$2:$M$201,MATCH(INDEX('2 Measurements'!$C$2:$C$201,MATCH(A34,'2 Measurements'!$A$2:$A$201,0)),'2 Assets'!$A$2:$A$201,0)))&amp;"/"&amp;INDEX('2 Measurements'!$C$2:$C$201,MATCH(A34,'2 Measurements'!$A$2:$A$201,0))&amp;"/"&amp;INDEX('2 Measurements'!$F$2:$F$201,MATCH(A34,'2 Measurements'!$A$2:$A$201,0))),""))</f>
        <v/>
      </c>
      <c r="E34" s="10" t="str">
        <f aca="false">IF(A34="","",IF(SUMPRODUCT(--EXACT('2 Measurements'!$A$2:$A$201,A34))=0,"Not on the Measurements sheet",IF(SUMPRODUCT(--EXACT($A$2:$A$201,A34))&gt;1,"Listed twice",IF(D34="","Topic could not be built: check the asset and the measurement",IF(COUNTIF($D$2:$D$201,D34)&gt;1,"Topic used twice","ok")))))</f>
        <v/>
      </c>
    </row>
    <row r="35" customFormat="false" ht="15" hidden="false" customHeight="false" outlineLevel="0" collapsed="false">
      <c r="A35" s="9"/>
      <c r="B35" s="9"/>
      <c r="C35" s="9"/>
      <c r="D35" s="10" t="str">
        <f aca="false">IF(A35="","",IFERROR(IF(INDEX('2 Measurements'!$B$2:$B$201,MATCH(A35,'2 Measurements'!$A$2:$A$201,0))="Measurement",'Read me'!$B$9&amp;"/"&amp;INDEX('2 Assets'!$F$2:$F$201,MATCH(INDEX('2 Measurements'!$C$2:$C$201,MATCH(A35,'2 Measurements'!$A$2:$A$201,0)),'2 Assets'!$A$2:$A$201,0))&amp;"/"&amp;INDEX('2 Measurements'!$F$2:$F$201,MATCH(A35,'2 Measurements'!$A$2:$A$201,0)),'Read me'!$B$10&amp;"/"&amp;IFERROR(IF(INDEX('2 Assets'!$E$2:$E$201,MATCH(INDEX('2 Assets'!$M$2:$M$201,MATCH(INDEX('2 Measurements'!$C$2:$C$201,MATCH(A35,'2 Measurements'!$A$2:$A$201,0)),'2 Assets'!$A$2:$A$201,0)),'2 Assets'!$A$2:$A$201,0))="",INDEX('2 Assets'!$M$2:$M$201,MATCH(INDEX('2 Measurements'!$C$2:$C$201,MATCH(A35,'2 Measurements'!$A$2:$A$201,0)),'2 Assets'!$A$2:$A$201,0)),INDEX('2 Assets'!$E$2:$E$201,MATCH(INDEX('2 Assets'!$M$2:$M$201,MATCH(INDEX('2 Measurements'!$C$2:$C$201,MATCH(A35,'2 Measurements'!$A$2:$A$201,0)),'2 Assets'!$A$2:$A$201,0)),'2 Assets'!$A$2:$A$201,0))),INDEX('2 Assets'!$M$2:$M$201,MATCH(INDEX('2 Measurements'!$C$2:$C$201,MATCH(A35,'2 Measurements'!$A$2:$A$201,0)),'2 Assets'!$A$2:$A$201,0)))&amp;"/"&amp;INDEX('2 Measurements'!$C$2:$C$201,MATCH(A35,'2 Measurements'!$A$2:$A$201,0))&amp;"/"&amp;INDEX('2 Measurements'!$F$2:$F$201,MATCH(A35,'2 Measurements'!$A$2:$A$201,0))),""))</f>
        <v/>
      </c>
      <c r="E35" s="10" t="str">
        <f aca="false">IF(A35="","",IF(SUMPRODUCT(--EXACT('2 Measurements'!$A$2:$A$201,A35))=0,"Not on the Measurements sheet",IF(SUMPRODUCT(--EXACT($A$2:$A$201,A35))&gt;1,"Listed twice",IF(D35="","Topic could not be built: check the asset and the measurement",IF(COUNTIF($D$2:$D$201,D35)&gt;1,"Topic used twice","ok")))))</f>
        <v/>
      </c>
    </row>
    <row r="36" customFormat="false" ht="15" hidden="false" customHeight="false" outlineLevel="0" collapsed="false">
      <c r="A36" s="9"/>
      <c r="B36" s="9"/>
      <c r="C36" s="9"/>
      <c r="D36" s="10" t="str">
        <f aca="false">IF(A36="","",IFERROR(IF(INDEX('2 Measurements'!$B$2:$B$201,MATCH(A36,'2 Measurements'!$A$2:$A$201,0))="Measurement",'Read me'!$B$9&amp;"/"&amp;INDEX('2 Assets'!$F$2:$F$201,MATCH(INDEX('2 Measurements'!$C$2:$C$201,MATCH(A36,'2 Measurements'!$A$2:$A$201,0)),'2 Assets'!$A$2:$A$201,0))&amp;"/"&amp;INDEX('2 Measurements'!$F$2:$F$201,MATCH(A36,'2 Measurements'!$A$2:$A$201,0)),'Read me'!$B$10&amp;"/"&amp;IFERROR(IF(INDEX('2 Assets'!$E$2:$E$201,MATCH(INDEX('2 Assets'!$M$2:$M$201,MATCH(INDEX('2 Measurements'!$C$2:$C$201,MATCH(A36,'2 Measurements'!$A$2:$A$201,0)),'2 Assets'!$A$2:$A$201,0)),'2 Assets'!$A$2:$A$201,0))="",INDEX('2 Assets'!$M$2:$M$201,MATCH(INDEX('2 Measurements'!$C$2:$C$201,MATCH(A36,'2 Measurements'!$A$2:$A$201,0)),'2 Assets'!$A$2:$A$201,0)),INDEX('2 Assets'!$E$2:$E$201,MATCH(INDEX('2 Assets'!$M$2:$M$201,MATCH(INDEX('2 Measurements'!$C$2:$C$201,MATCH(A36,'2 Measurements'!$A$2:$A$201,0)),'2 Assets'!$A$2:$A$201,0)),'2 Assets'!$A$2:$A$201,0))),INDEX('2 Assets'!$M$2:$M$201,MATCH(INDEX('2 Measurements'!$C$2:$C$201,MATCH(A36,'2 Measurements'!$A$2:$A$201,0)),'2 Assets'!$A$2:$A$201,0)))&amp;"/"&amp;INDEX('2 Measurements'!$C$2:$C$201,MATCH(A36,'2 Measurements'!$A$2:$A$201,0))&amp;"/"&amp;INDEX('2 Measurements'!$F$2:$F$201,MATCH(A36,'2 Measurements'!$A$2:$A$201,0))),""))</f>
        <v/>
      </c>
      <c r="E36" s="10" t="str">
        <f aca="false">IF(A36="","",IF(SUMPRODUCT(--EXACT('2 Measurements'!$A$2:$A$201,A36))=0,"Not on the Measurements sheet",IF(SUMPRODUCT(--EXACT($A$2:$A$201,A36))&gt;1,"Listed twice",IF(D36="","Topic could not be built: check the asset and the measurement",IF(COUNTIF($D$2:$D$201,D36)&gt;1,"Topic used twice","ok")))))</f>
        <v/>
      </c>
    </row>
    <row r="37" customFormat="false" ht="15" hidden="false" customHeight="false" outlineLevel="0" collapsed="false">
      <c r="A37" s="9"/>
      <c r="B37" s="9"/>
      <c r="C37" s="9"/>
      <c r="D37" s="10" t="str">
        <f aca="false">IF(A37="","",IFERROR(IF(INDEX('2 Measurements'!$B$2:$B$201,MATCH(A37,'2 Measurements'!$A$2:$A$201,0))="Measurement",'Read me'!$B$9&amp;"/"&amp;INDEX('2 Assets'!$F$2:$F$201,MATCH(INDEX('2 Measurements'!$C$2:$C$201,MATCH(A37,'2 Measurements'!$A$2:$A$201,0)),'2 Assets'!$A$2:$A$201,0))&amp;"/"&amp;INDEX('2 Measurements'!$F$2:$F$201,MATCH(A37,'2 Measurements'!$A$2:$A$201,0)),'Read me'!$B$10&amp;"/"&amp;IFERROR(IF(INDEX('2 Assets'!$E$2:$E$201,MATCH(INDEX('2 Assets'!$M$2:$M$201,MATCH(INDEX('2 Measurements'!$C$2:$C$201,MATCH(A37,'2 Measurements'!$A$2:$A$201,0)),'2 Assets'!$A$2:$A$201,0)),'2 Assets'!$A$2:$A$201,0))="",INDEX('2 Assets'!$M$2:$M$201,MATCH(INDEX('2 Measurements'!$C$2:$C$201,MATCH(A37,'2 Measurements'!$A$2:$A$201,0)),'2 Assets'!$A$2:$A$201,0)),INDEX('2 Assets'!$E$2:$E$201,MATCH(INDEX('2 Assets'!$M$2:$M$201,MATCH(INDEX('2 Measurements'!$C$2:$C$201,MATCH(A37,'2 Measurements'!$A$2:$A$201,0)),'2 Assets'!$A$2:$A$201,0)),'2 Assets'!$A$2:$A$201,0))),INDEX('2 Assets'!$M$2:$M$201,MATCH(INDEX('2 Measurements'!$C$2:$C$201,MATCH(A37,'2 Measurements'!$A$2:$A$201,0)),'2 Assets'!$A$2:$A$201,0)))&amp;"/"&amp;INDEX('2 Measurements'!$C$2:$C$201,MATCH(A37,'2 Measurements'!$A$2:$A$201,0))&amp;"/"&amp;INDEX('2 Measurements'!$F$2:$F$201,MATCH(A37,'2 Measurements'!$A$2:$A$201,0))),""))</f>
        <v/>
      </c>
      <c r="E37" s="10" t="str">
        <f aca="false">IF(A37="","",IF(SUMPRODUCT(--EXACT('2 Measurements'!$A$2:$A$201,A37))=0,"Not on the Measurements sheet",IF(SUMPRODUCT(--EXACT($A$2:$A$201,A37))&gt;1,"Listed twice",IF(D37="","Topic could not be built: check the asset and the measurement",IF(COUNTIF($D$2:$D$201,D37)&gt;1,"Topic used twice","ok")))))</f>
        <v/>
      </c>
    </row>
    <row r="38" customFormat="false" ht="15" hidden="false" customHeight="false" outlineLevel="0" collapsed="false">
      <c r="A38" s="9"/>
      <c r="B38" s="9"/>
      <c r="C38" s="9"/>
      <c r="D38" s="10" t="str">
        <f aca="false">IF(A38="","",IFERROR(IF(INDEX('2 Measurements'!$B$2:$B$201,MATCH(A38,'2 Measurements'!$A$2:$A$201,0))="Measurement",'Read me'!$B$9&amp;"/"&amp;INDEX('2 Assets'!$F$2:$F$201,MATCH(INDEX('2 Measurements'!$C$2:$C$201,MATCH(A38,'2 Measurements'!$A$2:$A$201,0)),'2 Assets'!$A$2:$A$201,0))&amp;"/"&amp;INDEX('2 Measurements'!$F$2:$F$201,MATCH(A38,'2 Measurements'!$A$2:$A$201,0)),'Read me'!$B$10&amp;"/"&amp;IFERROR(IF(INDEX('2 Assets'!$E$2:$E$201,MATCH(INDEX('2 Assets'!$M$2:$M$201,MATCH(INDEX('2 Measurements'!$C$2:$C$201,MATCH(A38,'2 Measurements'!$A$2:$A$201,0)),'2 Assets'!$A$2:$A$201,0)),'2 Assets'!$A$2:$A$201,0))="",INDEX('2 Assets'!$M$2:$M$201,MATCH(INDEX('2 Measurements'!$C$2:$C$201,MATCH(A38,'2 Measurements'!$A$2:$A$201,0)),'2 Assets'!$A$2:$A$201,0)),INDEX('2 Assets'!$E$2:$E$201,MATCH(INDEX('2 Assets'!$M$2:$M$201,MATCH(INDEX('2 Measurements'!$C$2:$C$201,MATCH(A38,'2 Measurements'!$A$2:$A$201,0)),'2 Assets'!$A$2:$A$201,0)),'2 Assets'!$A$2:$A$201,0))),INDEX('2 Assets'!$M$2:$M$201,MATCH(INDEX('2 Measurements'!$C$2:$C$201,MATCH(A38,'2 Measurements'!$A$2:$A$201,0)),'2 Assets'!$A$2:$A$201,0)))&amp;"/"&amp;INDEX('2 Measurements'!$C$2:$C$201,MATCH(A38,'2 Measurements'!$A$2:$A$201,0))&amp;"/"&amp;INDEX('2 Measurements'!$F$2:$F$201,MATCH(A38,'2 Measurements'!$A$2:$A$201,0))),""))</f>
        <v/>
      </c>
      <c r="E38" s="10" t="str">
        <f aca="false">IF(A38="","",IF(SUMPRODUCT(--EXACT('2 Measurements'!$A$2:$A$201,A38))=0,"Not on the Measurements sheet",IF(SUMPRODUCT(--EXACT($A$2:$A$201,A38))&gt;1,"Listed twice",IF(D38="","Topic could not be built: check the asset and the measurement",IF(COUNTIF($D$2:$D$201,D38)&gt;1,"Topic used twice","ok")))))</f>
        <v/>
      </c>
    </row>
    <row r="39" customFormat="false" ht="15" hidden="false" customHeight="false" outlineLevel="0" collapsed="false">
      <c r="A39" s="9"/>
      <c r="B39" s="9"/>
      <c r="C39" s="9"/>
      <c r="D39" s="10" t="str">
        <f aca="false">IF(A39="","",IFERROR(IF(INDEX('2 Measurements'!$B$2:$B$201,MATCH(A39,'2 Measurements'!$A$2:$A$201,0))="Measurement",'Read me'!$B$9&amp;"/"&amp;INDEX('2 Assets'!$F$2:$F$201,MATCH(INDEX('2 Measurements'!$C$2:$C$201,MATCH(A39,'2 Measurements'!$A$2:$A$201,0)),'2 Assets'!$A$2:$A$201,0))&amp;"/"&amp;INDEX('2 Measurements'!$F$2:$F$201,MATCH(A39,'2 Measurements'!$A$2:$A$201,0)),'Read me'!$B$10&amp;"/"&amp;IFERROR(IF(INDEX('2 Assets'!$E$2:$E$201,MATCH(INDEX('2 Assets'!$M$2:$M$201,MATCH(INDEX('2 Measurements'!$C$2:$C$201,MATCH(A39,'2 Measurements'!$A$2:$A$201,0)),'2 Assets'!$A$2:$A$201,0)),'2 Assets'!$A$2:$A$201,0))="",INDEX('2 Assets'!$M$2:$M$201,MATCH(INDEX('2 Measurements'!$C$2:$C$201,MATCH(A39,'2 Measurements'!$A$2:$A$201,0)),'2 Assets'!$A$2:$A$201,0)),INDEX('2 Assets'!$E$2:$E$201,MATCH(INDEX('2 Assets'!$M$2:$M$201,MATCH(INDEX('2 Measurements'!$C$2:$C$201,MATCH(A39,'2 Measurements'!$A$2:$A$201,0)),'2 Assets'!$A$2:$A$201,0)),'2 Assets'!$A$2:$A$201,0))),INDEX('2 Assets'!$M$2:$M$201,MATCH(INDEX('2 Measurements'!$C$2:$C$201,MATCH(A39,'2 Measurements'!$A$2:$A$201,0)),'2 Assets'!$A$2:$A$201,0)))&amp;"/"&amp;INDEX('2 Measurements'!$C$2:$C$201,MATCH(A39,'2 Measurements'!$A$2:$A$201,0))&amp;"/"&amp;INDEX('2 Measurements'!$F$2:$F$201,MATCH(A39,'2 Measurements'!$A$2:$A$201,0))),""))</f>
        <v/>
      </c>
      <c r="E39" s="10" t="str">
        <f aca="false">IF(A39="","",IF(SUMPRODUCT(--EXACT('2 Measurements'!$A$2:$A$201,A39))=0,"Not on the Measurements sheet",IF(SUMPRODUCT(--EXACT($A$2:$A$201,A39))&gt;1,"Listed twice",IF(D39="","Topic could not be built: check the asset and the measurement",IF(COUNTIF($D$2:$D$201,D39)&gt;1,"Topic used twice","ok")))))</f>
        <v/>
      </c>
    </row>
    <row r="40" customFormat="false" ht="15" hidden="false" customHeight="false" outlineLevel="0" collapsed="false">
      <c r="A40" s="9"/>
      <c r="B40" s="9"/>
      <c r="C40" s="9"/>
      <c r="D40" s="10" t="str">
        <f aca="false">IF(A40="","",IFERROR(IF(INDEX('2 Measurements'!$B$2:$B$201,MATCH(A40,'2 Measurements'!$A$2:$A$201,0))="Measurement",'Read me'!$B$9&amp;"/"&amp;INDEX('2 Assets'!$F$2:$F$201,MATCH(INDEX('2 Measurements'!$C$2:$C$201,MATCH(A40,'2 Measurements'!$A$2:$A$201,0)),'2 Assets'!$A$2:$A$201,0))&amp;"/"&amp;INDEX('2 Measurements'!$F$2:$F$201,MATCH(A40,'2 Measurements'!$A$2:$A$201,0)),'Read me'!$B$10&amp;"/"&amp;IFERROR(IF(INDEX('2 Assets'!$E$2:$E$201,MATCH(INDEX('2 Assets'!$M$2:$M$201,MATCH(INDEX('2 Measurements'!$C$2:$C$201,MATCH(A40,'2 Measurements'!$A$2:$A$201,0)),'2 Assets'!$A$2:$A$201,0)),'2 Assets'!$A$2:$A$201,0))="",INDEX('2 Assets'!$M$2:$M$201,MATCH(INDEX('2 Measurements'!$C$2:$C$201,MATCH(A40,'2 Measurements'!$A$2:$A$201,0)),'2 Assets'!$A$2:$A$201,0)),INDEX('2 Assets'!$E$2:$E$201,MATCH(INDEX('2 Assets'!$M$2:$M$201,MATCH(INDEX('2 Measurements'!$C$2:$C$201,MATCH(A40,'2 Measurements'!$A$2:$A$201,0)),'2 Assets'!$A$2:$A$201,0)),'2 Assets'!$A$2:$A$201,0))),INDEX('2 Assets'!$M$2:$M$201,MATCH(INDEX('2 Measurements'!$C$2:$C$201,MATCH(A40,'2 Measurements'!$A$2:$A$201,0)),'2 Assets'!$A$2:$A$201,0)))&amp;"/"&amp;INDEX('2 Measurements'!$C$2:$C$201,MATCH(A40,'2 Measurements'!$A$2:$A$201,0))&amp;"/"&amp;INDEX('2 Measurements'!$F$2:$F$201,MATCH(A40,'2 Measurements'!$A$2:$A$201,0))),""))</f>
        <v/>
      </c>
      <c r="E40" s="10" t="str">
        <f aca="false">IF(A40="","",IF(SUMPRODUCT(--EXACT('2 Measurements'!$A$2:$A$201,A40))=0,"Not on the Measurements sheet",IF(SUMPRODUCT(--EXACT($A$2:$A$201,A40))&gt;1,"Listed twice",IF(D40="","Topic could not be built: check the asset and the measurement",IF(COUNTIF($D$2:$D$201,D40)&gt;1,"Topic used twice","ok")))))</f>
        <v/>
      </c>
    </row>
    <row r="41" customFormat="false" ht="15" hidden="false" customHeight="false" outlineLevel="0" collapsed="false">
      <c r="A41" s="9"/>
      <c r="B41" s="9"/>
      <c r="C41" s="9"/>
      <c r="D41" s="10" t="str">
        <f aca="false">IF(A41="","",IFERROR(IF(INDEX('2 Measurements'!$B$2:$B$201,MATCH(A41,'2 Measurements'!$A$2:$A$201,0))="Measurement",'Read me'!$B$9&amp;"/"&amp;INDEX('2 Assets'!$F$2:$F$201,MATCH(INDEX('2 Measurements'!$C$2:$C$201,MATCH(A41,'2 Measurements'!$A$2:$A$201,0)),'2 Assets'!$A$2:$A$201,0))&amp;"/"&amp;INDEX('2 Measurements'!$F$2:$F$201,MATCH(A41,'2 Measurements'!$A$2:$A$201,0)),'Read me'!$B$10&amp;"/"&amp;IFERROR(IF(INDEX('2 Assets'!$E$2:$E$201,MATCH(INDEX('2 Assets'!$M$2:$M$201,MATCH(INDEX('2 Measurements'!$C$2:$C$201,MATCH(A41,'2 Measurements'!$A$2:$A$201,0)),'2 Assets'!$A$2:$A$201,0)),'2 Assets'!$A$2:$A$201,0))="",INDEX('2 Assets'!$M$2:$M$201,MATCH(INDEX('2 Measurements'!$C$2:$C$201,MATCH(A41,'2 Measurements'!$A$2:$A$201,0)),'2 Assets'!$A$2:$A$201,0)),INDEX('2 Assets'!$E$2:$E$201,MATCH(INDEX('2 Assets'!$M$2:$M$201,MATCH(INDEX('2 Measurements'!$C$2:$C$201,MATCH(A41,'2 Measurements'!$A$2:$A$201,0)),'2 Assets'!$A$2:$A$201,0)),'2 Assets'!$A$2:$A$201,0))),INDEX('2 Assets'!$M$2:$M$201,MATCH(INDEX('2 Measurements'!$C$2:$C$201,MATCH(A41,'2 Measurements'!$A$2:$A$201,0)),'2 Assets'!$A$2:$A$201,0)))&amp;"/"&amp;INDEX('2 Measurements'!$C$2:$C$201,MATCH(A41,'2 Measurements'!$A$2:$A$201,0))&amp;"/"&amp;INDEX('2 Measurements'!$F$2:$F$201,MATCH(A41,'2 Measurements'!$A$2:$A$201,0))),""))</f>
        <v/>
      </c>
      <c r="E41" s="10" t="str">
        <f aca="false">IF(A41="","",IF(SUMPRODUCT(--EXACT('2 Measurements'!$A$2:$A$201,A41))=0,"Not on the Measurements sheet",IF(SUMPRODUCT(--EXACT($A$2:$A$201,A41))&gt;1,"Listed twice",IF(D41="","Topic could not be built: check the asset and the measurement",IF(COUNTIF($D$2:$D$201,D41)&gt;1,"Topic used twice","ok")))))</f>
        <v/>
      </c>
    </row>
    <row r="42" customFormat="false" ht="15" hidden="false" customHeight="false" outlineLevel="0" collapsed="false">
      <c r="A42" s="9"/>
      <c r="B42" s="9"/>
      <c r="C42" s="9"/>
      <c r="D42" s="10" t="str">
        <f aca="false">IF(A42="","",IFERROR(IF(INDEX('2 Measurements'!$B$2:$B$201,MATCH(A42,'2 Measurements'!$A$2:$A$201,0))="Measurement",'Read me'!$B$9&amp;"/"&amp;INDEX('2 Assets'!$F$2:$F$201,MATCH(INDEX('2 Measurements'!$C$2:$C$201,MATCH(A42,'2 Measurements'!$A$2:$A$201,0)),'2 Assets'!$A$2:$A$201,0))&amp;"/"&amp;INDEX('2 Measurements'!$F$2:$F$201,MATCH(A42,'2 Measurements'!$A$2:$A$201,0)),'Read me'!$B$10&amp;"/"&amp;IFERROR(IF(INDEX('2 Assets'!$E$2:$E$201,MATCH(INDEX('2 Assets'!$M$2:$M$201,MATCH(INDEX('2 Measurements'!$C$2:$C$201,MATCH(A42,'2 Measurements'!$A$2:$A$201,0)),'2 Assets'!$A$2:$A$201,0)),'2 Assets'!$A$2:$A$201,0))="",INDEX('2 Assets'!$M$2:$M$201,MATCH(INDEX('2 Measurements'!$C$2:$C$201,MATCH(A42,'2 Measurements'!$A$2:$A$201,0)),'2 Assets'!$A$2:$A$201,0)),INDEX('2 Assets'!$E$2:$E$201,MATCH(INDEX('2 Assets'!$M$2:$M$201,MATCH(INDEX('2 Measurements'!$C$2:$C$201,MATCH(A42,'2 Measurements'!$A$2:$A$201,0)),'2 Assets'!$A$2:$A$201,0)),'2 Assets'!$A$2:$A$201,0))),INDEX('2 Assets'!$M$2:$M$201,MATCH(INDEX('2 Measurements'!$C$2:$C$201,MATCH(A42,'2 Measurements'!$A$2:$A$201,0)),'2 Assets'!$A$2:$A$201,0)))&amp;"/"&amp;INDEX('2 Measurements'!$C$2:$C$201,MATCH(A42,'2 Measurements'!$A$2:$A$201,0))&amp;"/"&amp;INDEX('2 Measurements'!$F$2:$F$201,MATCH(A42,'2 Measurements'!$A$2:$A$201,0))),""))</f>
        <v/>
      </c>
      <c r="E42" s="10" t="str">
        <f aca="false">IF(A42="","",IF(SUMPRODUCT(--EXACT('2 Measurements'!$A$2:$A$201,A42))=0,"Not on the Measurements sheet",IF(SUMPRODUCT(--EXACT($A$2:$A$201,A42))&gt;1,"Listed twice",IF(D42="","Topic could not be built: check the asset and the measurement",IF(COUNTIF($D$2:$D$201,D42)&gt;1,"Topic used twice","ok")))))</f>
        <v/>
      </c>
    </row>
    <row r="43" customFormat="false" ht="15" hidden="false" customHeight="false" outlineLevel="0" collapsed="false">
      <c r="A43" s="9"/>
      <c r="B43" s="9"/>
      <c r="C43" s="9"/>
      <c r="D43" s="10" t="str">
        <f aca="false">IF(A43="","",IFERROR(IF(INDEX('2 Measurements'!$B$2:$B$201,MATCH(A43,'2 Measurements'!$A$2:$A$201,0))="Measurement",'Read me'!$B$9&amp;"/"&amp;INDEX('2 Assets'!$F$2:$F$201,MATCH(INDEX('2 Measurements'!$C$2:$C$201,MATCH(A43,'2 Measurements'!$A$2:$A$201,0)),'2 Assets'!$A$2:$A$201,0))&amp;"/"&amp;INDEX('2 Measurements'!$F$2:$F$201,MATCH(A43,'2 Measurements'!$A$2:$A$201,0)),'Read me'!$B$10&amp;"/"&amp;IFERROR(IF(INDEX('2 Assets'!$E$2:$E$201,MATCH(INDEX('2 Assets'!$M$2:$M$201,MATCH(INDEX('2 Measurements'!$C$2:$C$201,MATCH(A43,'2 Measurements'!$A$2:$A$201,0)),'2 Assets'!$A$2:$A$201,0)),'2 Assets'!$A$2:$A$201,0))="",INDEX('2 Assets'!$M$2:$M$201,MATCH(INDEX('2 Measurements'!$C$2:$C$201,MATCH(A43,'2 Measurements'!$A$2:$A$201,0)),'2 Assets'!$A$2:$A$201,0)),INDEX('2 Assets'!$E$2:$E$201,MATCH(INDEX('2 Assets'!$M$2:$M$201,MATCH(INDEX('2 Measurements'!$C$2:$C$201,MATCH(A43,'2 Measurements'!$A$2:$A$201,0)),'2 Assets'!$A$2:$A$201,0)),'2 Assets'!$A$2:$A$201,0))),INDEX('2 Assets'!$M$2:$M$201,MATCH(INDEX('2 Measurements'!$C$2:$C$201,MATCH(A43,'2 Measurements'!$A$2:$A$201,0)),'2 Assets'!$A$2:$A$201,0)))&amp;"/"&amp;INDEX('2 Measurements'!$C$2:$C$201,MATCH(A43,'2 Measurements'!$A$2:$A$201,0))&amp;"/"&amp;INDEX('2 Measurements'!$F$2:$F$201,MATCH(A43,'2 Measurements'!$A$2:$A$201,0))),""))</f>
        <v/>
      </c>
      <c r="E43" s="10" t="str">
        <f aca="false">IF(A43="","",IF(SUMPRODUCT(--EXACT('2 Measurements'!$A$2:$A$201,A43))=0,"Not on the Measurements sheet",IF(SUMPRODUCT(--EXACT($A$2:$A$201,A43))&gt;1,"Listed twice",IF(D43="","Topic could not be built: check the asset and the measurement",IF(COUNTIF($D$2:$D$201,D43)&gt;1,"Topic used twice","ok")))))</f>
        <v/>
      </c>
    </row>
    <row r="44" customFormat="false" ht="15" hidden="false" customHeight="false" outlineLevel="0" collapsed="false">
      <c r="A44" s="9"/>
      <c r="B44" s="9"/>
      <c r="C44" s="9"/>
      <c r="D44" s="10" t="str">
        <f aca="false">IF(A44="","",IFERROR(IF(INDEX('2 Measurements'!$B$2:$B$201,MATCH(A44,'2 Measurements'!$A$2:$A$201,0))="Measurement",'Read me'!$B$9&amp;"/"&amp;INDEX('2 Assets'!$F$2:$F$201,MATCH(INDEX('2 Measurements'!$C$2:$C$201,MATCH(A44,'2 Measurements'!$A$2:$A$201,0)),'2 Assets'!$A$2:$A$201,0))&amp;"/"&amp;INDEX('2 Measurements'!$F$2:$F$201,MATCH(A44,'2 Measurements'!$A$2:$A$201,0)),'Read me'!$B$10&amp;"/"&amp;IFERROR(IF(INDEX('2 Assets'!$E$2:$E$201,MATCH(INDEX('2 Assets'!$M$2:$M$201,MATCH(INDEX('2 Measurements'!$C$2:$C$201,MATCH(A44,'2 Measurements'!$A$2:$A$201,0)),'2 Assets'!$A$2:$A$201,0)),'2 Assets'!$A$2:$A$201,0))="",INDEX('2 Assets'!$M$2:$M$201,MATCH(INDEX('2 Measurements'!$C$2:$C$201,MATCH(A44,'2 Measurements'!$A$2:$A$201,0)),'2 Assets'!$A$2:$A$201,0)),INDEX('2 Assets'!$E$2:$E$201,MATCH(INDEX('2 Assets'!$M$2:$M$201,MATCH(INDEX('2 Measurements'!$C$2:$C$201,MATCH(A44,'2 Measurements'!$A$2:$A$201,0)),'2 Assets'!$A$2:$A$201,0)),'2 Assets'!$A$2:$A$201,0))),INDEX('2 Assets'!$M$2:$M$201,MATCH(INDEX('2 Measurements'!$C$2:$C$201,MATCH(A44,'2 Measurements'!$A$2:$A$201,0)),'2 Assets'!$A$2:$A$201,0)))&amp;"/"&amp;INDEX('2 Measurements'!$C$2:$C$201,MATCH(A44,'2 Measurements'!$A$2:$A$201,0))&amp;"/"&amp;INDEX('2 Measurements'!$F$2:$F$201,MATCH(A44,'2 Measurements'!$A$2:$A$201,0))),""))</f>
        <v/>
      </c>
      <c r="E44" s="10" t="str">
        <f aca="false">IF(A44="","",IF(SUMPRODUCT(--EXACT('2 Measurements'!$A$2:$A$201,A44))=0,"Not on the Measurements sheet",IF(SUMPRODUCT(--EXACT($A$2:$A$201,A44))&gt;1,"Listed twice",IF(D44="","Topic could not be built: check the asset and the measurement",IF(COUNTIF($D$2:$D$201,D44)&gt;1,"Topic used twice","ok")))))</f>
        <v/>
      </c>
    </row>
    <row r="45" customFormat="false" ht="15" hidden="false" customHeight="false" outlineLevel="0" collapsed="false">
      <c r="A45" s="9"/>
      <c r="B45" s="9"/>
      <c r="C45" s="9"/>
      <c r="D45" s="10" t="str">
        <f aca="false">IF(A45="","",IFERROR(IF(INDEX('2 Measurements'!$B$2:$B$201,MATCH(A45,'2 Measurements'!$A$2:$A$201,0))="Measurement",'Read me'!$B$9&amp;"/"&amp;INDEX('2 Assets'!$F$2:$F$201,MATCH(INDEX('2 Measurements'!$C$2:$C$201,MATCH(A45,'2 Measurements'!$A$2:$A$201,0)),'2 Assets'!$A$2:$A$201,0))&amp;"/"&amp;INDEX('2 Measurements'!$F$2:$F$201,MATCH(A45,'2 Measurements'!$A$2:$A$201,0)),'Read me'!$B$10&amp;"/"&amp;IFERROR(IF(INDEX('2 Assets'!$E$2:$E$201,MATCH(INDEX('2 Assets'!$M$2:$M$201,MATCH(INDEX('2 Measurements'!$C$2:$C$201,MATCH(A45,'2 Measurements'!$A$2:$A$201,0)),'2 Assets'!$A$2:$A$201,0)),'2 Assets'!$A$2:$A$201,0))="",INDEX('2 Assets'!$M$2:$M$201,MATCH(INDEX('2 Measurements'!$C$2:$C$201,MATCH(A45,'2 Measurements'!$A$2:$A$201,0)),'2 Assets'!$A$2:$A$201,0)),INDEX('2 Assets'!$E$2:$E$201,MATCH(INDEX('2 Assets'!$M$2:$M$201,MATCH(INDEX('2 Measurements'!$C$2:$C$201,MATCH(A45,'2 Measurements'!$A$2:$A$201,0)),'2 Assets'!$A$2:$A$201,0)),'2 Assets'!$A$2:$A$201,0))),INDEX('2 Assets'!$M$2:$M$201,MATCH(INDEX('2 Measurements'!$C$2:$C$201,MATCH(A45,'2 Measurements'!$A$2:$A$201,0)),'2 Assets'!$A$2:$A$201,0)))&amp;"/"&amp;INDEX('2 Measurements'!$C$2:$C$201,MATCH(A45,'2 Measurements'!$A$2:$A$201,0))&amp;"/"&amp;INDEX('2 Measurements'!$F$2:$F$201,MATCH(A45,'2 Measurements'!$A$2:$A$201,0))),""))</f>
        <v/>
      </c>
      <c r="E45" s="10" t="str">
        <f aca="false">IF(A45="","",IF(SUMPRODUCT(--EXACT('2 Measurements'!$A$2:$A$201,A45))=0,"Not on the Measurements sheet",IF(SUMPRODUCT(--EXACT($A$2:$A$201,A45))&gt;1,"Listed twice",IF(D45="","Topic could not be built: check the asset and the measurement",IF(COUNTIF($D$2:$D$201,D45)&gt;1,"Topic used twice","ok")))))</f>
        <v/>
      </c>
    </row>
    <row r="46" customFormat="false" ht="15" hidden="false" customHeight="false" outlineLevel="0" collapsed="false">
      <c r="A46" s="9"/>
      <c r="B46" s="9"/>
      <c r="C46" s="9"/>
      <c r="D46" s="10" t="str">
        <f aca="false">IF(A46="","",IFERROR(IF(INDEX('2 Measurements'!$B$2:$B$201,MATCH(A46,'2 Measurements'!$A$2:$A$201,0))="Measurement",'Read me'!$B$9&amp;"/"&amp;INDEX('2 Assets'!$F$2:$F$201,MATCH(INDEX('2 Measurements'!$C$2:$C$201,MATCH(A46,'2 Measurements'!$A$2:$A$201,0)),'2 Assets'!$A$2:$A$201,0))&amp;"/"&amp;INDEX('2 Measurements'!$F$2:$F$201,MATCH(A46,'2 Measurements'!$A$2:$A$201,0)),'Read me'!$B$10&amp;"/"&amp;IFERROR(IF(INDEX('2 Assets'!$E$2:$E$201,MATCH(INDEX('2 Assets'!$M$2:$M$201,MATCH(INDEX('2 Measurements'!$C$2:$C$201,MATCH(A46,'2 Measurements'!$A$2:$A$201,0)),'2 Assets'!$A$2:$A$201,0)),'2 Assets'!$A$2:$A$201,0))="",INDEX('2 Assets'!$M$2:$M$201,MATCH(INDEX('2 Measurements'!$C$2:$C$201,MATCH(A46,'2 Measurements'!$A$2:$A$201,0)),'2 Assets'!$A$2:$A$201,0)),INDEX('2 Assets'!$E$2:$E$201,MATCH(INDEX('2 Assets'!$M$2:$M$201,MATCH(INDEX('2 Measurements'!$C$2:$C$201,MATCH(A46,'2 Measurements'!$A$2:$A$201,0)),'2 Assets'!$A$2:$A$201,0)),'2 Assets'!$A$2:$A$201,0))),INDEX('2 Assets'!$M$2:$M$201,MATCH(INDEX('2 Measurements'!$C$2:$C$201,MATCH(A46,'2 Measurements'!$A$2:$A$201,0)),'2 Assets'!$A$2:$A$201,0)))&amp;"/"&amp;INDEX('2 Measurements'!$C$2:$C$201,MATCH(A46,'2 Measurements'!$A$2:$A$201,0))&amp;"/"&amp;INDEX('2 Measurements'!$F$2:$F$201,MATCH(A46,'2 Measurements'!$A$2:$A$201,0))),""))</f>
        <v/>
      </c>
      <c r="E46" s="10" t="str">
        <f aca="false">IF(A46="","",IF(SUMPRODUCT(--EXACT('2 Measurements'!$A$2:$A$201,A46))=0,"Not on the Measurements sheet",IF(SUMPRODUCT(--EXACT($A$2:$A$201,A46))&gt;1,"Listed twice",IF(D46="","Topic could not be built: check the asset and the measurement",IF(COUNTIF($D$2:$D$201,D46)&gt;1,"Topic used twice","ok")))))</f>
        <v/>
      </c>
    </row>
    <row r="47" customFormat="false" ht="15" hidden="false" customHeight="false" outlineLevel="0" collapsed="false">
      <c r="A47" s="9"/>
      <c r="B47" s="9"/>
      <c r="C47" s="9"/>
      <c r="D47" s="10" t="str">
        <f aca="false">IF(A47="","",IFERROR(IF(INDEX('2 Measurements'!$B$2:$B$201,MATCH(A47,'2 Measurements'!$A$2:$A$201,0))="Measurement",'Read me'!$B$9&amp;"/"&amp;INDEX('2 Assets'!$F$2:$F$201,MATCH(INDEX('2 Measurements'!$C$2:$C$201,MATCH(A47,'2 Measurements'!$A$2:$A$201,0)),'2 Assets'!$A$2:$A$201,0))&amp;"/"&amp;INDEX('2 Measurements'!$F$2:$F$201,MATCH(A47,'2 Measurements'!$A$2:$A$201,0)),'Read me'!$B$10&amp;"/"&amp;IFERROR(IF(INDEX('2 Assets'!$E$2:$E$201,MATCH(INDEX('2 Assets'!$M$2:$M$201,MATCH(INDEX('2 Measurements'!$C$2:$C$201,MATCH(A47,'2 Measurements'!$A$2:$A$201,0)),'2 Assets'!$A$2:$A$201,0)),'2 Assets'!$A$2:$A$201,0))="",INDEX('2 Assets'!$M$2:$M$201,MATCH(INDEX('2 Measurements'!$C$2:$C$201,MATCH(A47,'2 Measurements'!$A$2:$A$201,0)),'2 Assets'!$A$2:$A$201,0)),INDEX('2 Assets'!$E$2:$E$201,MATCH(INDEX('2 Assets'!$M$2:$M$201,MATCH(INDEX('2 Measurements'!$C$2:$C$201,MATCH(A47,'2 Measurements'!$A$2:$A$201,0)),'2 Assets'!$A$2:$A$201,0)),'2 Assets'!$A$2:$A$201,0))),INDEX('2 Assets'!$M$2:$M$201,MATCH(INDEX('2 Measurements'!$C$2:$C$201,MATCH(A47,'2 Measurements'!$A$2:$A$201,0)),'2 Assets'!$A$2:$A$201,0)))&amp;"/"&amp;INDEX('2 Measurements'!$C$2:$C$201,MATCH(A47,'2 Measurements'!$A$2:$A$201,0))&amp;"/"&amp;INDEX('2 Measurements'!$F$2:$F$201,MATCH(A47,'2 Measurements'!$A$2:$A$201,0))),""))</f>
        <v/>
      </c>
      <c r="E47" s="10" t="str">
        <f aca="false">IF(A47="","",IF(SUMPRODUCT(--EXACT('2 Measurements'!$A$2:$A$201,A47))=0,"Not on the Measurements sheet",IF(SUMPRODUCT(--EXACT($A$2:$A$201,A47))&gt;1,"Listed twice",IF(D47="","Topic could not be built: check the asset and the measurement",IF(COUNTIF($D$2:$D$201,D47)&gt;1,"Topic used twice","ok")))))</f>
        <v/>
      </c>
    </row>
    <row r="48" customFormat="false" ht="15" hidden="false" customHeight="false" outlineLevel="0" collapsed="false">
      <c r="A48" s="9"/>
      <c r="B48" s="9"/>
      <c r="C48" s="9"/>
      <c r="D48" s="10" t="str">
        <f aca="false">IF(A48="","",IFERROR(IF(INDEX('2 Measurements'!$B$2:$B$201,MATCH(A48,'2 Measurements'!$A$2:$A$201,0))="Measurement",'Read me'!$B$9&amp;"/"&amp;INDEX('2 Assets'!$F$2:$F$201,MATCH(INDEX('2 Measurements'!$C$2:$C$201,MATCH(A48,'2 Measurements'!$A$2:$A$201,0)),'2 Assets'!$A$2:$A$201,0))&amp;"/"&amp;INDEX('2 Measurements'!$F$2:$F$201,MATCH(A48,'2 Measurements'!$A$2:$A$201,0)),'Read me'!$B$10&amp;"/"&amp;IFERROR(IF(INDEX('2 Assets'!$E$2:$E$201,MATCH(INDEX('2 Assets'!$M$2:$M$201,MATCH(INDEX('2 Measurements'!$C$2:$C$201,MATCH(A48,'2 Measurements'!$A$2:$A$201,0)),'2 Assets'!$A$2:$A$201,0)),'2 Assets'!$A$2:$A$201,0))="",INDEX('2 Assets'!$M$2:$M$201,MATCH(INDEX('2 Measurements'!$C$2:$C$201,MATCH(A48,'2 Measurements'!$A$2:$A$201,0)),'2 Assets'!$A$2:$A$201,0)),INDEX('2 Assets'!$E$2:$E$201,MATCH(INDEX('2 Assets'!$M$2:$M$201,MATCH(INDEX('2 Measurements'!$C$2:$C$201,MATCH(A48,'2 Measurements'!$A$2:$A$201,0)),'2 Assets'!$A$2:$A$201,0)),'2 Assets'!$A$2:$A$201,0))),INDEX('2 Assets'!$M$2:$M$201,MATCH(INDEX('2 Measurements'!$C$2:$C$201,MATCH(A48,'2 Measurements'!$A$2:$A$201,0)),'2 Assets'!$A$2:$A$201,0)))&amp;"/"&amp;INDEX('2 Measurements'!$C$2:$C$201,MATCH(A48,'2 Measurements'!$A$2:$A$201,0))&amp;"/"&amp;INDEX('2 Measurements'!$F$2:$F$201,MATCH(A48,'2 Measurements'!$A$2:$A$201,0))),""))</f>
        <v/>
      </c>
      <c r="E48" s="10" t="str">
        <f aca="false">IF(A48="","",IF(SUMPRODUCT(--EXACT('2 Measurements'!$A$2:$A$201,A48))=0,"Not on the Measurements sheet",IF(SUMPRODUCT(--EXACT($A$2:$A$201,A48))&gt;1,"Listed twice",IF(D48="","Topic could not be built: check the asset and the measurement",IF(COUNTIF($D$2:$D$201,D48)&gt;1,"Topic used twice","ok")))))</f>
        <v/>
      </c>
    </row>
    <row r="49" customFormat="false" ht="15" hidden="false" customHeight="false" outlineLevel="0" collapsed="false">
      <c r="A49" s="9"/>
      <c r="B49" s="9"/>
      <c r="C49" s="9"/>
      <c r="D49" s="10" t="str">
        <f aca="false">IF(A49="","",IFERROR(IF(INDEX('2 Measurements'!$B$2:$B$201,MATCH(A49,'2 Measurements'!$A$2:$A$201,0))="Measurement",'Read me'!$B$9&amp;"/"&amp;INDEX('2 Assets'!$F$2:$F$201,MATCH(INDEX('2 Measurements'!$C$2:$C$201,MATCH(A49,'2 Measurements'!$A$2:$A$201,0)),'2 Assets'!$A$2:$A$201,0))&amp;"/"&amp;INDEX('2 Measurements'!$F$2:$F$201,MATCH(A49,'2 Measurements'!$A$2:$A$201,0)),'Read me'!$B$10&amp;"/"&amp;IFERROR(IF(INDEX('2 Assets'!$E$2:$E$201,MATCH(INDEX('2 Assets'!$M$2:$M$201,MATCH(INDEX('2 Measurements'!$C$2:$C$201,MATCH(A49,'2 Measurements'!$A$2:$A$201,0)),'2 Assets'!$A$2:$A$201,0)),'2 Assets'!$A$2:$A$201,0))="",INDEX('2 Assets'!$M$2:$M$201,MATCH(INDEX('2 Measurements'!$C$2:$C$201,MATCH(A49,'2 Measurements'!$A$2:$A$201,0)),'2 Assets'!$A$2:$A$201,0)),INDEX('2 Assets'!$E$2:$E$201,MATCH(INDEX('2 Assets'!$M$2:$M$201,MATCH(INDEX('2 Measurements'!$C$2:$C$201,MATCH(A49,'2 Measurements'!$A$2:$A$201,0)),'2 Assets'!$A$2:$A$201,0)),'2 Assets'!$A$2:$A$201,0))),INDEX('2 Assets'!$M$2:$M$201,MATCH(INDEX('2 Measurements'!$C$2:$C$201,MATCH(A49,'2 Measurements'!$A$2:$A$201,0)),'2 Assets'!$A$2:$A$201,0)))&amp;"/"&amp;INDEX('2 Measurements'!$C$2:$C$201,MATCH(A49,'2 Measurements'!$A$2:$A$201,0))&amp;"/"&amp;INDEX('2 Measurements'!$F$2:$F$201,MATCH(A49,'2 Measurements'!$A$2:$A$201,0))),""))</f>
        <v/>
      </c>
      <c r="E49" s="10" t="str">
        <f aca="false">IF(A49="","",IF(SUMPRODUCT(--EXACT('2 Measurements'!$A$2:$A$201,A49))=0,"Not on the Measurements sheet",IF(SUMPRODUCT(--EXACT($A$2:$A$201,A49))&gt;1,"Listed twice",IF(D49="","Topic could not be built: check the asset and the measurement",IF(COUNTIF($D$2:$D$201,D49)&gt;1,"Topic used twice","ok")))))</f>
        <v/>
      </c>
    </row>
    <row r="50" customFormat="false" ht="15" hidden="false" customHeight="false" outlineLevel="0" collapsed="false">
      <c r="A50" s="9"/>
      <c r="B50" s="9"/>
      <c r="C50" s="9"/>
      <c r="D50" s="10" t="str">
        <f aca="false">IF(A50="","",IFERROR(IF(INDEX('2 Measurements'!$B$2:$B$201,MATCH(A50,'2 Measurements'!$A$2:$A$201,0))="Measurement",'Read me'!$B$9&amp;"/"&amp;INDEX('2 Assets'!$F$2:$F$201,MATCH(INDEX('2 Measurements'!$C$2:$C$201,MATCH(A50,'2 Measurements'!$A$2:$A$201,0)),'2 Assets'!$A$2:$A$201,0))&amp;"/"&amp;INDEX('2 Measurements'!$F$2:$F$201,MATCH(A50,'2 Measurements'!$A$2:$A$201,0)),'Read me'!$B$10&amp;"/"&amp;IFERROR(IF(INDEX('2 Assets'!$E$2:$E$201,MATCH(INDEX('2 Assets'!$M$2:$M$201,MATCH(INDEX('2 Measurements'!$C$2:$C$201,MATCH(A50,'2 Measurements'!$A$2:$A$201,0)),'2 Assets'!$A$2:$A$201,0)),'2 Assets'!$A$2:$A$201,0))="",INDEX('2 Assets'!$M$2:$M$201,MATCH(INDEX('2 Measurements'!$C$2:$C$201,MATCH(A50,'2 Measurements'!$A$2:$A$201,0)),'2 Assets'!$A$2:$A$201,0)),INDEX('2 Assets'!$E$2:$E$201,MATCH(INDEX('2 Assets'!$M$2:$M$201,MATCH(INDEX('2 Measurements'!$C$2:$C$201,MATCH(A50,'2 Measurements'!$A$2:$A$201,0)),'2 Assets'!$A$2:$A$201,0)),'2 Assets'!$A$2:$A$201,0))),INDEX('2 Assets'!$M$2:$M$201,MATCH(INDEX('2 Measurements'!$C$2:$C$201,MATCH(A50,'2 Measurements'!$A$2:$A$201,0)),'2 Assets'!$A$2:$A$201,0)))&amp;"/"&amp;INDEX('2 Measurements'!$C$2:$C$201,MATCH(A50,'2 Measurements'!$A$2:$A$201,0))&amp;"/"&amp;INDEX('2 Measurements'!$F$2:$F$201,MATCH(A50,'2 Measurements'!$A$2:$A$201,0))),""))</f>
        <v/>
      </c>
      <c r="E50" s="10" t="str">
        <f aca="false">IF(A50="","",IF(SUMPRODUCT(--EXACT('2 Measurements'!$A$2:$A$201,A50))=0,"Not on the Measurements sheet",IF(SUMPRODUCT(--EXACT($A$2:$A$201,A50))&gt;1,"Listed twice",IF(D50="","Topic could not be built: check the asset and the measurement",IF(COUNTIF($D$2:$D$201,D50)&gt;1,"Topic used twice","ok")))))</f>
        <v/>
      </c>
    </row>
    <row r="51" customFormat="false" ht="15" hidden="false" customHeight="false" outlineLevel="0" collapsed="false">
      <c r="A51" s="9"/>
      <c r="B51" s="9"/>
      <c r="C51" s="9"/>
      <c r="D51" s="10" t="str">
        <f aca="false">IF(A51="","",IFERROR(IF(INDEX('2 Measurements'!$B$2:$B$201,MATCH(A51,'2 Measurements'!$A$2:$A$201,0))="Measurement",'Read me'!$B$9&amp;"/"&amp;INDEX('2 Assets'!$F$2:$F$201,MATCH(INDEX('2 Measurements'!$C$2:$C$201,MATCH(A51,'2 Measurements'!$A$2:$A$201,0)),'2 Assets'!$A$2:$A$201,0))&amp;"/"&amp;INDEX('2 Measurements'!$F$2:$F$201,MATCH(A51,'2 Measurements'!$A$2:$A$201,0)),'Read me'!$B$10&amp;"/"&amp;IFERROR(IF(INDEX('2 Assets'!$E$2:$E$201,MATCH(INDEX('2 Assets'!$M$2:$M$201,MATCH(INDEX('2 Measurements'!$C$2:$C$201,MATCH(A51,'2 Measurements'!$A$2:$A$201,0)),'2 Assets'!$A$2:$A$201,0)),'2 Assets'!$A$2:$A$201,0))="",INDEX('2 Assets'!$M$2:$M$201,MATCH(INDEX('2 Measurements'!$C$2:$C$201,MATCH(A51,'2 Measurements'!$A$2:$A$201,0)),'2 Assets'!$A$2:$A$201,0)),INDEX('2 Assets'!$E$2:$E$201,MATCH(INDEX('2 Assets'!$M$2:$M$201,MATCH(INDEX('2 Measurements'!$C$2:$C$201,MATCH(A51,'2 Measurements'!$A$2:$A$201,0)),'2 Assets'!$A$2:$A$201,0)),'2 Assets'!$A$2:$A$201,0))),INDEX('2 Assets'!$M$2:$M$201,MATCH(INDEX('2 Measurements'!$C$2:$C$201,MATCH(A51,'2 Measurements'!$A$2:$A$201,0)),'2 Assets'!$A$2:$A$201,0)))&amp;"/"&amp;INDEX('2 Measurements'!$C$2:$C$201,MATCH(A51,'2 Measurements'!$A$2:$A$201,0))&amp;"/"&amp;INDEX('2 Measurements'!$F$2:$F$201,MATCH(A51,'2 Measurements'!$A$2:$A$201,0))),""))</f>
        <v/>
      </c>
      <c r="E51" s="10" t="str">
        <f aca="false">IF(A51="","",IF(SUMPRODUCT(--EXACT('2 Measurements'!$A$2:$A$201,A51))=0,"Not on the Measurements sheet",IF(SUMPRODUCT(--EXACT($A$2:$A$201,A51))&gt;1,"Listed twice",IF(D51="","Topic could not be built: check the asset and the measurement",IF(COUNTIF($D$2:$D$201,D51)&gt;1,"Topic used twice","ok")))))</f>
        <v/>
      </c>
    </row>
    <row r="52" customFormat="false" ht="15" hidden="false" customHeight="false" outlineLevel="0" collapsed="false">
      <c r="A52" s="9"/>
      <c r="B52" s="9"/>
      <c r="C52" s="9"/>
      <c r="D52" s="10" t="str">
        <f aca="false">IF(A52="","",IFERROR(IF(INDEX('2 Measurements'!$B$2:$B$201,MATCH(A52,'2 Measurements'!$A$2:$A$201,0))="Measurement",'Read me'!$B$9&amp;"/"&amp;INDEX('2 Assets'!$F$2:$F$201,MATCH(INDEX('2 Measurements'!$C$2:$C$201,MATCH(A52,'2 Measurements'!$A$2:$A$201,0)),'2 Assets'!$A$2:$A$201,0))&amp;"/"&amp;INDEX('2 Measurements'!$F$2:$F$201,MATCH(A52,'2 Measurements'!$A$2:$A$201,0)),'Read me'!$B$10&amp;"/"&amp;IFERROR(IF(INDEX('2 Assets'!$E$2:$E$201,MATCH(INDEX('2 Assets'!$M$2:$M$201,MATCH(INDEX('2 Measurements'!$C$2:$C$201,MATCH(A52,'2 Measurements'!$A$2:$A$201,0)),'2 Assets'!$A$2:$A$201,0)),'2 Assets'!$A$2:$A$201,0))="",INDEX('2 Assets'!$M$2:$M$201,MATCH(INDEX('2 Measurements'!$C$2:$C$201,MATCH(A52,'2 Measurements'!$A$2:$A$201,0)),'2 Assets'!$A$2:$A$201,0)),INDEX('2 Assets'!$E$2:$E$201,MATCH(INDEX('2 Assets'!$M$2:$M$201,MATCH(INDEX('2 Measurements'!$C$2:$C$201,MATCH(A52,'2 Measurements'!$A$2:$A$201,0)),'2 Assets'!$A$2:$A$201,0)),'2 Assets'!$A$2:$A$201,0))),INDEX('2 Assets'!$M$2:$M$201,MATCH(INDEX('2 Measurements'!$C$2:$C$201,MATCH(A52,'2 Measurements'!$A$2:$A$201,0)),'2 Assets'!$A$2:$A$201,0)))&amp;"/"&amp;INDEX('2 Measurements'!$C$2:$C$201,MATCH(A52,'2 Measurements'!$A$2:$A$201,0))&amp;"/"&amp;INDEX('2 Measurements'!$F$2:$F$201,MATCH(A52,'2 Measurements'!$A$2:$A$201,0))),""))</f>
        <v/>
      </c>
      <c r="E52" s="10" t="str">
        <f aca="false">IF(A52="","",IF(SUMPRODUCT(--EXACT('2 Measurements'!$A$2:$A$201,A52))=0,"Not on the Measurements sheet",IF(SUMPRODUCT(--EXACT($A$2:$A$201,A52))&gt;1,"Listed twice",IF(D52="","Topic could not be built: check the asset and the measurement",IF(COUNTIF($D$2:$D$201,D52)&gt;1,"Topic used twice","ok")))))</f>
        <v/>
      </c>
    </row>
    <row r="53" customFormat="false" ht="15" hidden="false" customHeight="false" outlineLevel="0" collapsed="false">
      <c r="A53" s="9"/>
      <c r="B53" s="9"/>
      <c r="C53" s="9"/>
      <c r="D53" s="10" t="str">
        <f aca="false">IF(A53="","",IFERROR(IF(INDEX('2 Measurements'!$B$2:$B$201,MATCH(A53,'2 Measurements'!$A$2:$A$201,0))="Measurement",'Read me'!$B$9&amp;"/"&amp;INDEX('2 Assets'!$F$2:$F$201,MATCH(INDEX('2 Measurements'!$C$2:$C$201,MATCH(A53,'2 Measurements'!$A$2:$A$201,0)),'2 Assets'!$A$2:$A$201,0))&amp;"/"&amp;INDEX('2 Measurements'!$F$2:$F$201,MATCH(A53,'2 Measurements'!$A$2:$A$201,0)),'Read me'!$B$10&amp;"/"&amp;IFERROR(IF(INDEX('2 Assets'!$E$2:$E$201,MATCH(INDEX('2 Assets'!$M$2:$M$201,MATCH(INDEX('2 Measurements'!$C$2:$C$201,MATCH(A53,'2 Measurements'!$A$2:$A$201,0)),'2 Assets'!$A$2:$A$201,0)),'2 Assets'!$A$2:$A$201,0))="",INDEX('2 Assets'!$M$2:$M$201,MATCH(INDEX('2 Measurements'!$C$2:$C$201,MATCH(A53,'2 Measurements'!$A$2:$A$201,0)),'2 Assets'!$A$2:$A$201,0)),INDEX('2 Assets'!$E$2:$E$201,MATCH(INDEX('2 Assets'!$M$2:$M$201,MATCH(INDEX('2 Measurements'!$C$2:$C$201,MATCH(A53,'2 Measurements'!$A$2:$A$201,0)),'2 Assets'!$A$2:$A$201,0)),'2 Assets'!$A$2:$A$201,0))),INDEX('2 Assets'!$M$2:$M$201,MATCH(INDEX('2 Measurements'!$C$2:$C$201,MATCH(A53,'2 Measurements'!$A$2:$A$201,0)),'2 Assets'!$A$2:$A$201,0)))&amp;"/"&amp;INDEX('2 Measurements'!$C$2:$C$201,MATCH(A53,'2 Measurements'!$A$2:$A$201,0))&amp;"/"&amp;INDEX('2 Measurements'!$F$2:$F$201,MATCH(A53,'2 Measurements'!$A$2:$A$201,0))),""))</f>
        <v/>
      </c>
      <c r="E53" s="10" t="str">
        <f aca="false">IF(A53="","",IF(SUMPRODUCT(--EXACT('2 Measurements'!$A$2:$A$201,A53))=0,"Not on the Measurements sheet",IF(SUMPRODUCT(--EXACT($A$2:$A$201,A53))&gt;1,"Listed twice",IF(D53="","Topic could not be built: check the asset and the measurement",IF(COUNTIF($D$2:$D$201,D53)&gt;1,"Topic used twice","ok")))))</f>
        <v/>
      </c>
    </row>
    <row r="54" customFormat="false" ht="15" hidden="false" customHeight="false" outlineLevel="0" collapsed="false">
      <c r="A54" s="9"/>
      <c r="B54" s="9"/>
      <c r="C54" s="9"/>
      <c r="D54" s="10" t="str">
        <f aca="false">IF(A54="","",IFERROR(IF(INDEX('2 Measurements'!$B$2:$B$201,MATCH(A54,'2 Measurements'!$A$2:$A$201,0))="Measurement",'Read me'!$B$9&amp;"/"&amp;INDEX('2 Assets'!$F$2:$F$201,MATCH(INDEX('2 Measurements'!$C$2:$C$201,MATCH(A54,'2 Measurements'!$A$2:$A$201,0)),'2 Assets'!$A$2:$A$201,0))&amp;"/"&amp;INDEX('2 Measurements'!$F$2:$F$201,MATCH(A54,'2 Measurements'!$A$2:$A$201,0)),'Read me'!$B$10&amp;"/"&amp;IFERROR(IF(INDEX('2 Assets'!$E$2:$E$201,MATCH(INDEX('2 Assets'!$M$2:$M$201,MATCH(INDEX('2 Measurements'!$C$2:$C$201,MATCH(A54,'2 Measurements'!$A$2:$A$201,0)),'2 Assets'!$A$2:$A$201,0)),'2 Assets'!$A$2:$A$201,0))="",INDEX('2 Assets'!$M$2:$M$201,MATCH(INDEX('2 Measurements'!$C$2:$C$201,MATCH(A54,'2 Measurements'!$A$2:$A$201,0)),'2 Assets'!$A$2:$A$201,0)),INDEX('2 Assets'!$E$2:$E$201,MATCH(INDEX('2 Assets'!$M$2:$M$201,MATCH(INDEX('2 Measurements'!$C$2:$C$201,MATCH(A54,'2 Measurements'!$A$2:$A$201,0)),'2 Assets'!$A$2:$A$201,0)),'2 Assets'!$A$2:$A$201,0))),INDEX('2 Assets'!$M$2:$M$201,MATCH(INDEX('2 Measurements'!$C$2:$C$201,MATCH(A54,'2 Measurements'!$A$2:$A$201,0)),'2 Assets'!$A$2:$A$201,0)))&amp;"/"&amp;INDEX('2 Measurements'!$C$2:$C$201,MATCH(A54,'2 Measurements'!$A$2:$A$201,0))&amp;"/"&amp;INDEX('2 Measurements'!$F$2:$F$201,MATCH(A54,'2 Measurements'!$A$2:$A$201,0))),""))</f>
        <v/>
      </c>
      <c r="E54" s="10" t="str">
        <f aca="false">IF(A54="","",IF(SUMPRODUCT(--EXACT('2 Measurements'!$A$2:$A$201,A54))=0,"Not on the Measurements sheet",IF(SUMPRODUCT(--EXACT($A$2:$A$201,A54))&gt;1,"Listed twice",IF(D54="","Topic could not be built: check the asset and the measurement",IF(COUNTIF($D$2:$D$201,D54)&gt;1,"Topic used twice","ok")))))</f>
        <v/>
      </c>
    </row>
    <row r="55" customFormat="false" ht="15" hidden="false" customHeight="false" outlineLevel="0" collapsed="false">
      <c r="A55" s="9"/>
      <c r="B55" s="9"/>
      <c r="C55" s="9"/>
      <c r="D55" s="10" t="str">
        <f aca="false">IF(A55="","",IFERROR(IF(INDEX('2 Measurements'!$B$2:$B$201,MATCH(A55,'2 Measurements'!$A$2:$A$201,0))="Measurement",'Read me'!$B$9&amp;"/"&amp;INDEX('2 Assets'!$F$2:$F$201,MATCH(INDEX('2 Measurements'!$C$2:$C$201,MATCH(A55,'2 Measurements'!$A$2:$A$201,0)),'2 Assets'!$A$2:$A$201,0))&amp;"/"&amp;INDEX('2 Measurements'!$F$2:$F$201,MATCH(A55,'2 Measurements'!$A$2:$A$201,0)),'Read me'!$B$10&amp;"/"&amp;IFERROR(IF(INDEX('2 Assets'!$E$2:$E$201,MATCH(INDEX('2 Assets'!$M$2:$M$201,MATCH(INDEX('2 Measurements'!$C$2:$C$201,MATCH(A55,'2 Measurements'!$A$2:$A$201,0)),'2 Assets'!$A$2:$A$201,0)),'2 Assets'!$A$2:$A$201,0))="",INDEX('2 Assets'!$M$2:$M$201,MATCH(INDEX('2 Measurements'!$C$2:$C$201,MATCH(A55,'2 Measurements'!$A$2:$A$201,0)),'2 Assets'!$A$2:$A$201,0)),INDEX('2 Assets'!$E$2:$E$201,MATCH(INDEX('2 Assets'!$M$2:$M$201,MATCH(INDEX('2 Measurements'!$C$2:$C$201,MATCH(A55,'2 Measurements'!$A$2:$A$201,0)),'2 Assets'!$A$2:$A$201,0)),'2 Assets'!$A$2:$A$201,0))),INDEX('2 Assets'!$M$2:$M$201,MATCH(INDEX('2 Measurements'!$C$2:$C$201,MATCH(A55,'2 Measurements'!$A$2:$A$201,0)),'2 Assets'!$A$2:$A$201,0)))&amp;"/"&amp;INDEX('2 Measurements'!$C$2:$C$201,MATCH(A55,'2 Measurements'!$A$2:$A$201,0))&amp;"/"&amp;INDEX('2 Measurements'!$F$2:$F$201,MATCH(A55,'2 Measurements'!$A$2:$A$201,0))),""))</f>
        <v/>
      </c>
      <c r="E55" s="10" t="str">
        <f aca="false">IF(A55="","",IF(SUMPRODUCT(--EXACT('2 Measurements'!$A$2:$A$201,A55))=0,"Not on the Measurements sheet",IF(SUMPRODUCT(--EXACT($A$2:$A$201,A55))&gt;1,"Listed twice",IF(D55="","Topic could not be built: check the asset and the measurement",IF(COUNTIF($D$2:$D$201,D55)&gt;1,"Topic used twice","ok")))))</f>
        <v/>
      </c>
    </row>
    <row r="56" customFormat="false" ht="15" hidden="false" customHeight="false" outlineLevel="0" collapsed="false">
      <c r="A56" s="9"/>
      <c r="B56" s="9"/>
      <c r="C56" s="9"/>
      <c r="D56" s="10" t="str">
        <f aca="false">IF(A56="","",IFERROR(IF(INDEX('2 Measurements'!$B$2:$B$201,MATCH(A56,'2 Measurements'!$A$2:$A$201,0))="Measurement",'Read me'!$B$9&amp;"/"&amp;INDEX('2 Assets'!$F$2:$F$201,MATCH(INDEX('2 Measurements'!$C$2:$C$201,MATCH(A56,'2 Measurements'!$A$2:$A$201,0)),'2 Assets'!$A$2:$A$201,0))&amp;"/"&amp;INDEX('2 Measurements'!$F$2:$F$201,MATCH(A56,'2 Measurements'!$A$2:$A$201,0)),'Read me'!$B$10&amp;"/"&amp;IFERROR(IF(INDEX('2 Assets'!$E$2:$E$201,MATCH(INDEX('2 Assets'!$M$2:$M$201,MATCH(INDEX('2 Measurements'!$C$2:$C$201,MATCH(A56,'2 Measurements'!$A$2:$A$201,0)),'2 Assets'!$A$2:$A$201,0)),'2 Assets'!$A$2:$A$201,0))="",INDEX('2 Assets'!$M$2:$M$201,MATCH(INDEX('2 Measurements'!$C$2:$C$201,MATCH(A56,'2 Measurements'!$A$2:$A$201,0)),'2 Assets'!$A$2:$A$201,0)),INDEX('2 Assets'!$E$2:$E$201,MATCH(INDEX('2 Assets'!$M$2:$M$201,MATCH(INDEX('2 Measurements'!$C$2:$C$201,MATCH(A56,'2 Measurements'!$A$2:$A$201,0)),'2 Assets'!$A$2:$A$201,0)),'2 Assets'!$A$2:$A$201,0))),INDEX('2 Assets'!$M$2:$M$201,MATCH(INDEX('2 Measurements'!$C$2:$C$201,MATCH(A56,'2 Measurements'!$A$2:$A$201,0)),'2 Assets'!$A$2:$A$201,0)))&amp;"/"&amp;INDEX('2 Measurements'!$C$2:$C$201,MATCH(A56,'2 Measurements'!$A$2:$A$201,0))&amp;"/"&amp;INDEX('2 Measurements'!$F$2:$F$201,MATCH(A56,'2 Measurements'!$A$2:$A$201,0))),""))</f>
        <v/>
      </c>
      <c r="E56" s="10" t="str">
        <f aca="false">IF(A56="","",IF(SUMPRODUCT(--EXACT('2 Measurements'!$A$2:$A$201,A56))=0,"Not on the Measurements sheet",IF(SUMPRODUCT(--EXACT($A$2:$A$201,A56))&gt;1,"Listed twice",IF(D56="","Topic could not be built: check the asset and the measurement",IF(COUNTIF($D$2:$D$201,D56)&gt;1,"Topic used twice","ok")))))</f>
        <v/>
      </c>
    </row>
    <row r="57" customFormat="false" ht="15" hidden="false" customHeight="false" outlineLevel="0" collapsed="false">
      <c r="A57" s="9"/>
      <c r="B57" s="9"/>
      <c r="C57" s="9"/>
      <c r="D57" s="10" t="str">
        <f aca="false">IF(A57="","",IFERROR(IF(INDEX('2 Measurements'!$B$2:$B$201,MATCH(A57,'2 Measurements'!$A$2:$A$201,0))="Measurement",'Read me'!$B$9&amp;"/"&amp;INDEX('2 Assets'!$F$2:$F$201,MATCH(INDEX('2 Measurements'!$C$2:$C$201,MATCH(A57,'2 Measurements'!$A$2:$A$201,0)),'2 Assets'!$A$2:$A$201,0))&amp;"/"&amp;INDEX('2 Measurements'!$F$2:$F$201,MATCH(A57,'2 Measurements'!$A$2:$A$201,0)),'Read me'!$B$10&amp;"/"&amp;IFERROR(IF(INDEX('2 Assets'!$E$2:$E$201,MATCH(INDEX('2 Assets'!$M$2:$M$201,MATCH(INDEX('2 Measurements'!$C$2:$C$201,MATCH(A57,'2 Measurements'!$A$2:$A$201,0)),'2 Assets'!$A$2:$A$201,0)),'2 Assets'!$A$2:$A$201,0))="",INDEX('2 Assets'!$M$2:$M$201,MATCH(INDEX('2 Measurements'!$C$2:$C$201,MATCH(A57,'2 Measurements'!$A$2:$A$201,0)),'2 Assets'!$A$2:$A$201,0)),INDEX('2 Assets'!$E$2:$E$201,MATCH(INDEX('2 Assets'!$M$2:$M$201,MATCH(INDEX('2 Measurements'!$C$2:$C$201,MATCH(A57,'2 Measurements'!$A$2:$A$201,0)),'2 Assets'!$A$2:$A$201,0)),'2 Assets'!$A$2:$A$201,0))),INDEX('2 Assets'!$M$2:$M$201,MATCH(INDEX('2 Measurements'!$C$2:$C$201,MATCH(A57,'2 Measurements'!$A$2:$A$201,0)),'2 Assets'!$A$2:$A$201,0)))&amp;"/"&amp;INDEX('2 Measurements'!$C$2:$C$201,MATCH(A57,'2 Measurements'!$A$2:$A$201,0))&amp;"/"&amp;INDEX('2 Measurements'!$F$2:$F$201,MATCH(A57,'2 Measurements'!$A$2:$A$201,0))),""))</f>
        <v/>
      </c>
      <c r="E57" s="10" t="str">
        <f aca="false">IF(A57="","",IF(SUMPRODUCT(--EXACT('2 Measurements'!$A$2:$A$201,A57))=0,"Not on the Measurements sheet",IF(SUMPRODUCT(--EXACT($A$2:$A$201,A57))&gt;1,"Listed twice",IF(D57="","Topic could not be built: check the asset and the measurement",IF(COUNTIF($D$2:$D$201,D57)&gt;1,"Topic used twice","ok")))))</f>
        <v/>
      </c>
    </row>
    <row r="58" customFormat="false" ht="15" hidden="false" customHeight="false" outlineLevel="0" collapsed="false">
      <c r="A58" s="9"/>
      <c r="B58" s="9"/>
      <c r="C58" s="9"/>
      <c r="D58" s="10" t="str">
        <f aca="false">IF(A58="","",IFERROR(IF(INDEX('2 Measurements'!$B$2:$B$201,MATCH(A58,'2 Measurements'!$A$2:$A$201,0))="Measurement",'Read me'!$B$9&amp;"/"&amp;INDEX('2 Assets'!$F$2:$F$201,MATCH(INDEX('2 Measurements'!$C$2:$C$201,MATCH(A58,'2 Measurements'!$A$2:$A$201,0)),'2 Assets'!$A$2:$A$201,0))&amp;"/"&amp;INDEX('2 Measurements'!$F$2:$F$201,MATCH(A58,'2 Measurements'!$A$2:$A$201,0)),'Read me'!$B$10&amp;"/"&amp;IFERROR(IF(INDEX('2 Assets'!$E$2:$E$201,MATCH(INDEX('2 Assets'!$M$2:$M$201,MATCH(INDEX('2 Measurements'!$C$2:$C$201,MATCH(A58,'2 Measurements'!$A$2:$A$201,0)),'2 Assets'!$A$2:$A$201,0)),'2 Assets'!$A$2:$A$201,0))="",INDEX('2 Assets'!$M$2:$M$201,MATCH(INDEX('2 Measurements'!$C$2:$C$201,MATCH(A58,'2 Measurements'!$A$2:$A$201,0)),'2 Assets'!$A$2:$A$201,0)),INDEX('2 Assets'!$E$2:$E$201,MATCH(INDEX('2 Assets'!$M$2:$M$201,MATCH(INDEX('2 Measurements'!$C$2:$C$201,MATCH(A58,'2 Measurements'!$A$2:$A$201,0)),'2 Assets'!$A$2:$A$201,0)),'2 Assets'!$A$2:$A$201,0))),INDEX('2 Assets'!$M$2:$M$201,MATCH(INDEX('2 Measurements'!$C$2:$C$201,MATCH(A58,'2 Measurements'!$A$2:$A$201,0)),'2 Assets'!$A$2:$A$201,0)))&amp;"/"&amp;INDEX('2 Measurements'!$C$2:$C$201,MATCH(A58,'2 Measurements'!$A$2:$A$201,0))&amp;"/"&amp;INDEX('2 Measurements'!$F$2:$F$201,MATCH(A58,'2 Measurements'!$A$2:$A$201,0))),""))</f>
        <v/>
      </c>
      <c r="E58" s="10" t="str">
        <f aca="false">IF(A58="","",IF(SUMPRODUCT(--EXACT('2 Measurements'!$A$2:$A$201,A58))=0,"Not on the Measurements sheet",IF(SUMPRODUCT(--EXACT($A$2:$A$201,A58))&gt;1,"Listed twice",IF(D58="","Topic could not be built: check the asset and the measurement",IF(COUNTIF($D$2:$D$201,D58)&gt;1,"Topic used twice","ok")))))</f>
        <v/>
      </c>
    </row>
    <row r="59" customFormat="false" ht="15" hidden="false" customHeight="false" outlineLevel="0" collapsed="false">
      <c r="A59" s="9"/>
      <c r="B59" s="9"/>
      <c r="C59" s="9"/>
      <c r="D59" s="10" t="str">
        <f aca="false">IF(A59="","",IFERROR(IF(INDEX('2 Measurements'!$B$2:$B$201,MATCH(A59,'2 Measurements'!$A$2:$A$201,0))="Measurement",'Read me'!$B$9&amp;"/"&amp;INDEX('2 Assets'!$F$2:$F$201,MATCH(INDEX('2 Measurements'!$C$2:$C$201,MATCH(A59,'2 Measurements'!$A$2:$A$201,0)),'2 Assets'!$A$2:$A$201,0))&amp;"/"&amp;INDEX('2 Measurements'!$F$2:$F$201,MATCH(A59,'2 Measurements'!$A$2:$A$201,0)),'Read me'!$B$10&amp;"/"&amp;IFERROR(IF(INDEX('2 Assets'!$E$2:$E$201,MATCH(INDEX('2 Assets'!$M$2:$M$201,MATCH(INDEX('2 Measurements'!$C$2:$C$201,MATCH(A59,'2 Measurements'!$A$2:$A$201,0)),'2 Assets'!$A$2:$A$201,0)),'2 Assets'!$A$2:$A$201,0))="",INDEX('2 Assets'!$M$2:$M$201,MATCH(INDEX('2 Measurements'!$C$2:$C$201,MATCH(A59,'2 Measurements'!$A$2:$A$201,0)),'2 Assets'!$A$2:$A$201,0)),INDEX('2 Assets'!$E$2:$E$201,MATCH(INDEX('2 Assets'!$M$2:$M$201,MATCH(INDEX('2 Measurements'!$C$2:$C$201,MATCH(A59,'2 Measurements'!$A$2:$A$201,0)),'2 Assets'!$A$2:$A$201,0)),'2 Assets'!$A$2:$A$201,0))),INDEX('2 Assets'!$M$2:$M$201,MATCH(INDEX('2 Measurements'!$C$2:$C$201,MATCH(A59,'2 Measurements'!$A$2:$A$201,0)),'2 Assets'!$A$2:$A$201,0)))&amp;"/"&amp;INDEX('2 Measurements'!$C$2:$C$201,MATCH(A59,'2 Measurements'!$A$2:$A$201,0))&amp;"/"&amp;INDEX('2 Measurements'!$F$2:$F$201,MATCH(A59,'2 Measurements'!$A$2:$A$201,0))),""))</f>
        <v/>
      </c>
      <c r="E59" s="10" t="str">
        <f aca="false">IF(A59="","",IF(SUMPRODUCT(--EXACT('2 Measurements'!$A$2:$A$201,A59))=0,"Not on the Measurements sheet",IF(SUMPRODUCT(--EXACT($A$2:$A$201,A59))&gt;1,"Listed twice",IF(D59="","Topic could not be built: check the asset and the measurement",IF(COUNTIF($D$2:$D$201,D59)&gt;1,"Topic used twice","ok")))))</f>
        <v/>
      </c>
    </row>
    <row r="60" customFormat="false" ht="15" hidden="false" customHeight="false" outlineLevel="0" collapsed="false">
      <c r="A60" s="9"/>
      <c r="B60" s="9"/>
      <c r="C60" s="9"/>
      <c r="D60" s="10" t="str">
        <f aca="false">IF(A60="","",IFERROR(IF(INDEX('2 Measurements'!$B$2:$B$201,MATCH(A60,'2 Measurements'!$A$2:$A$201,0))="Measurement",'Read me'!$B$9&amp;"/"&amp;INDEX('2 Assets'!$F$2:$F$201,MATCH(INDEX('2 Measurements'!$C$2:$C$201,MATCH(A60,'2 Measurements'!$A$2:$A$201,0)),'2 Assets'!$A$2:$A$201,0))&amp;"/"&amp;INDEX('2 Measurements'!$F$2:$F$201,MATCH(A60,'2 Measurements'!$A$2:$A$201,0)),'Read me'!$B$10&amp;"/"&amp;IFERROR(IF(INDEX('2 Assets'!$E$2:$E$201,MATCH(INDEX('2 Assets'!$M$2:$M$201,MATCH(INDEX('2 Measurements'!$C$2:$C$201,MATCH(A60,'2 Measurements'!$A$2:$A$201,0)),'2 Assets'!$A$2:$A$201,0)),'2 Assets'!$A$2:$A$201,0))="",INDEX('2 Assets'!$M$2:$M$201,MATCH(INDEX('2 Measurements'!$C$2:$C$201,MATCH(A60,'2 Measurements'!$A$2:$A$201,0)),'2 Assets'!$A$2:$A$201,0)),INDEX('2 Assets'!$E$2:$E$201,MATCH(INDEX('2 Assets'!$M$2:$M$201,MATCH(INDEX('2 Measurements'!$C$2:$C$201,MATCH(A60,'2 Measurements'!$A$2:$A$201,0)),'2 Assets'!$A$2:$A$201,0)),'2 Assets'!$A$2:$A$201,0))),INDEX('2 Assets'!$M$2:$M$201,MATCH(INDEX('2 Measurements'!$C$2:$C$201,MATCH(A60,'2 Measurements'!$A$2:$A$201,0)),'2 Assets'!$A$2:$A$201,0)))&amp;"/"&amp;INDEX('2 Measurements'!$C$2:$C$201,MATCH(A60,'2 Measurements'!$A$2:$A$201,0))&amp;"/"&amp;INDEX('2 Measurements'!$F$2:$F$201,MATCH(A60,'2 Measurements'!$A$2:$A$201,0))),""))</f>
        <v/>
      </c>
      <c r="E60" s="10" t="str">
        <f aca="false">IF(A60="","",IF(SUMPRODUCT(--EXACT('2 Measurements'!$A$2:$A$201,A60))=0,"Not on the Measurements sheet",IF(SUMPRODUCT(--EXACT($A$2:$A$201,A60))&gt;1,"Listed twice",IF(D60="","Topic could not be built: check the asset and the measurement",IF(COUNTIF($D$2:$D$201,D60)&gt;1,"Topic used twice","ok")))))</f>
        <v/>
      </c>
    </row>
    <row r="61" customFormat="false" ht="15" hidden="false" customHeight="false" outlineLevel="0" collapsed="false">
      <c r="A61" s="9"/>
      <c r="B61" s="9"/>
      <c r="C61" s="9"/>
      <c r="D61" s="10" t="str">
        <f aca="false">IF(A61="","",IFERROR(IF(INDEX('2 Measurements'!$B$2:$B$201,MATCH(A61,'2 Measurements'!$A$2:$A$201,0))="Measurement",'Read me'!$B$9&amp;"/"&amp;INDEX('2 Assets'!$F$2:$F$201,MATCH(INDEX('2 Measurements'!$C$2:$C$201,MATCH(A61,'2 Measurements'!$A$2:$A$201,0)),'2 Assets'!$A$2:$A$201,0))&amp;"/"&amp;INDEX('2 Measurements'!$F$2:$F$201,MATCH(A61,'2 Measurements'!$A$2:$A$201,0)),'Read me'!$B$10&amp;"/"&amp;IFERROR(IF(INDEX('2 Assets'!$E$2:$E$201,MATCH(INDEX('2 Assets'!$M$2:$M$201,MATCH(INDEX('2 Measurements'!$C$2:$C$201,MATCH(A61,'2 Measurements'!$A$2:$A$201,0)),'2 Assets'!$A$2:$A$201,0)),'2 Assets'!$A$2:$A$201,0))="",INDEX('2 Assets'!$M$2:$M$201,MATCH(INDEX('2 Measurements'!$C$2:$C$201,MATCH(A61,'2 Measurements'!$A$2:$A$201,0)),'2 Assets'!$A$2:$A$201,0)),INDEX('2 Assets'!$E$2:$E$201,MATCH(INDEX('2 Assets'!$M$2:$M$201,MATCH(INDEX('2 Measurements'!$C$2:$C$201,MATCH(A61,'2 Measurements'!$A$2:$A$201,0)),'2 Assets'!$A$2:$A$201,0)),'2 Assets'!$A$2:$A$201,0))),INDEX('2 Assets'!$M$2:$M$201,MATCH(INDEX('2 Measurements'!$C$2:$C$201,MATCH(A61,'2 Measurements'!$A$2:$A$201,0)),'2 Assets'!$A$2:$A$201,0)))&amp;"/"&amp;INDEX('2 Measurements'!$C$2:$C$201,MATCH(A61,'2 Measurements'!$A$2:$A$201,0))&amp;"/"&amp;INDEX('2 Measurements'!$F$2:$F$201,MATCH(A61,'2 Measurements'!$A$2:$A$201,0))),""))</f>
        <v/>
      </c>
      <c r="E61" s="10" t="str">
        <f aca="false">IF(A61="","",IF(SUMPRODUCT(--EXACT('2 Measurements'!$A$2:$A$201,A61))=0,"Not on the Measurements sheet",IF(SUMPRODUCT(--EXACT($A$2:$A$201,A61))&gt;1,"Listed twice",IF(D61="","Topic could not be built: check the asset and the measurement",IF(COUNTIF($D$2:$D$201,D61)&gt;1,"Topic used twice","ok")))))</f>
        <v/>
      </c>
    </row>
    <row r="62" customFormat="false" ht="15" hidden="false" customHeight="false" outlineLevel="0" collapsed="false">
      <c r="A62" s="9"/>
      <c r="B62" s="9"/>
      <c r="C62" s="9"/>
      <c r="D62" s="10" t="str">
        <f aca="false">IF(A62="","",IFERROR(IF(INDEX('2 Measurements'!$B$2:$B$201,MATCH(A62,'2 Measurements'!$A$2:$A$201,0))="Measurement",'Read me'!$B$9&amp;"/"&amp;INDEX('2 Assets'!$F$2:$F$201,MATCH(INDEX('2 Measurements'!$C$2:$C$201,MATCH(A62,'2 Measurements'!$A$2:$A$201,0)),'2 Assets'!$A$2:$A$201,0))&amp;"/"&amp;INDEX('2 Measurements'!$F$2:$F$201,MATCH(A62,'2 Measurements'!$A$2:$A$201,0)),'Read me'!$B$10&amp;"/"&amp;IFERROR(IF(INDEX('2 Assets'!$E$2:$E$201,MATCH(INDEX('2 Assets'!$M$2:$M$201,MATCH(INDEX('2 Measurements'!$C$2:$C$201,MATCH(A62,'2 Measurements'!$A$2:$A$201,0)),'2 Assets'!$A$2:$A$201,0)),'2 Assets'!$A$2:$A$201,0))="",INDEX('2 Assets'!$M$2:$M$201,MATCH(INDEX('2 Measurements'!$C$2:$C$201,MATCH(A62,'2 Measurements'!$A$2:$A$201,0)),'2 Assets'!$A$2:$A$201,0)),INDEX('2 Assets'!$E$2:$E$201,MATCH(INDEX('2 Assets'!$M$2:$M$201,MATCH(INDEX('2 Measurements'!$C$2:$C$201,MATCH(A62,'2 Measurements'!$A$2:$A$201,0)),'2 Assets'!$A$2:$A$201,0)),'2 Assets'!$A$2:$A$201,0))),INDEX('2 Assets'!$M$2:$M$201,MATCH(INDEX('2 Measurements'!$C$2:$C$201,MATCH(A62,'2 Measurements'!$A$2:$A$201,0)),'2 Assets'!$A$2:$A$201,0)))&amp;"/"&amp;INDEX('2 Measurements'!$C$2:$C$201,MATCH(A62,'2 Measurements'!$A$2:$A$201,0))&amp;"/"&amp;INDEX('2 Measurements'!$F$2:$F$201,MATCH(A62,'2 Measurements'!$A$2:$A$201,0))),""))</f>
        <v/>
      </c>
      <c r="E62" s="10" t="str">
        <f aca="false">IF(A62="","",IF(SUMPRODUCT(--EXACT('2 Measurements'!$A$2:$A$201,A62))=0,"Not on the Measurements sheet",IF(SUMPRODUCT(--EXACT($A$2:$A$201,A62))&gt;1,"Listed twice",IF(D62="","Topic could not be built: check the asset and the measurement",IF(COUNTIF($D$2:$D$201,D62)&gt;1,"Topic used twice","ok")))))</f>
        <v/>
      </c>
    </row>
    <row r="63" customFormat="false" ht="15" hidden="false" customHeight="false" outlineLevel="0" collapsed="false">
      <c r="A63" s="9"/>
      <c r="B63" s="9"/>
      <c r="C63" s="9"/>
      <c r="D63" s="10" t="str">
        <f aca="false">IF(A63="","",IFERROR(IF(INDEX('2 Measurements'!$B$2:$B$201,MATCH(A63,'2 Measurements'!$A$2:$A$201,0))="Measurement",'Read me'!$B$9&amp;"/"&amp;INDEX('2 Assets'!$F$2:$F$201,MATCH(INDEX('2 Measurements'!$C$2:$C$201,MATCH(A63,'2 Measurements'!$A$2:$A$201,0)),'2 Assets'!$A$2:$A$201,0))&amp;"/"&amp;INDEX('2 Measurements'!$F$2:$F$201,MATCH(A63,'2 Measurements'!$A$2:$A$201,0)),'Read me'!$B$10&amp;"/"&amp;IFERROR(IF(INDEX('2 Assets'!$E$2:$E$201,MATCH(INDEX('2 Assets'!$M$2:$M$201,MATCH(INDEX('2 Measurements'!$C$2:$C$201,MATCH(A63,'2 Measurements'!$A$2:$A$201,0)),'2 Assets'!$A$2:$A$201,0)),'2 Assets'!$A$2:$A$201,0))="",INDEX('2 Assets'!$M$2:$M$201,MATCH(INDEX('2 Measurements'!$C$2:$C$201,MATCH(A63,'2 Measurements'!$A$2:$A$201,0)),'2 Assets'!$A$2:$A$201,0)),INDEX('2 Assets'!$E$2:$E$201,MATCH(INDEX('2 Assets'!$M$2:$M$201,MATCH(INDEX('2 Measurements'!$C$2:$C$201,MATCH(A63,'2 Measurements'!$A$2:$A$201,0)),'2 Assets'!$A$2:$A$201,0)),'2 Assets'!$A$2:$A$201,0))),INDEX('2 Assets'!$M$2:$M$201,MATCH(INDEX('2 Measurements'!$C$2:$C$201,MATCH(A63,'2 Measurements'!$A$2:$A$201,0)),'2 Assets'!$A$2:$A$201,0)))&amp;"/"&amp;INDEX('2 Measurements'!$C$2:$C$201,MATCH(A63,'2 Measurements'!$A$2:$A$201,0))&amp;"/"&amp;INDEX('2 Measurements'!$F$2:$F$201,MATCH(A63,'2 Measurements'!$A$2:$A$201,0))),""))</f>
        <v/>
      </c>
      <c r="E63" s="10" t="str">
        <f aca="false">IF(A63="","",IF(SUMPRODUCT(--EXACT('2 Measurements'!$A$2:$A$201,A63))=0,"Not on the Measurements sheet",IF(SUMPRODUCT(--EXACT($A$2:$A$201,A63))&gt;1,"Listed twice",IF(D63="","Topic could not be built: check the asset and the measurement",IF(COUNTIF($D$2:$D$201,D63)&gt;1,"Topic used twice","ok")))))</f>
        <v/>
      </c>
    </row>
    <row r="64" customFormat="false" ht="15" hidden="false" customHeight="false" outlineLevel="0" collapsed="false">
      <c r="A64" s="9"/>
      <c r="B64" s="9"/>
      <c r="C64" s="9"/>
      <c r="D64" s="10" t="str">
        <f aca="false">IF(A64="","",IFERROR(IF(INDEX('2 Measurements'!$B$2:$B$201,MATCH(A64,'2 Measurements'!$A$2:$A$201,0))="Measurement",'Read me'!$B$9&amp;"/"&amp;INDEX('2 Assets'!$F$2:$F$201,MATCH(INDEX('2 Measurements'!$C$2:$C$201,MATCH(A64,'2 Measurements'!$A$2:$A$201,0)),'2 Assets'!$A$2:$A$201,0))&amp;"/"&amp;INDEX('2 Measurements'!$F$2:$F$201,MATCH(A64,'2 Measurements'!$A$2:$A$201,0)),'Read me'!$B$10&amp;"/"&amp;IFERROR(IF(INDEX('2 Assets'!$E$2:$E$201,MATCH(INDEX('2 Assets'!$M$2:$M$201,MATCH(INDEX('2 Measurements'!$C$2:$C$201,MATCH(A64,'2 Measurements'!$A$2:$A$201,0)),'2 Assets'!$A$2:$A$201,0)),'2 Assets'!$A$2:$A$201,0))="",INDEX('2 Assets'!$M$2:$M$201,MATCH(INDEX('2 Measurements'!$C$2:$C$201,MATCH(A64,'2 Measurements'!$A$2:$A$201,0)),'2 Assets'!$A$2:$A$201,0)),INDEX('2 Assets'!$E$2:$E$201,MATCH(INDEX('2 Assets'!$M$2:$M$201,MATCH(INDEX('2 Measurements'!$C$2:$C$201,MATCH(A64,'2 Measurements'!$A$2:$A$201,0)),'2 Assets'!$A$2:$A$201,0)),'2 Assets'!$A$2:$A$201,0))),INDEX('2 Assets'!$M$2:$M$201,MATCH(INDEX('2 Measurements'!$C$2:$C$201,MATCH(A64,'2 Measurements'!$A$2:$A$201,0)),'2 Assets'!$A$2:$A$201,0)))&amp;"/"&amp;INDEX('2 Measurements'!$C$2:$C$201,MATCH(A64,'2 Measurements'!$A$2:$A$201,0))&amp;"/"&amp;INDEX('2 Measurements'!$F$2:$F$201,MATCH(A64,'2 Measurements'!$A$2:$A$201,0))),""))</f>
        <v/>
      </c>
      <c r="E64" s="10" t="str">
        <f aca="false">IF(A64="","",IF(SUMPRODUCT(--EXACT('2 Measurements'!$A$2:$A$201,A64))=0,"Not on the Measurements sheet",IF(SUMPRODUCT(--EXACT($A$2:$A$201,A64))&gt;1,"Listed twice",IF(D64="","Topic could not be built: check the asset and the measurement",IF(COUNTIF($D$2:$D$201,D64)&gt;1,"Topic used twice","ok")))))</f>
        <v/>
      </c>
    </row>
    <row r="65" customFormat="false" ht="15" hidden="false" customHeight="false" outlineLevel="0" collapsed="false">
      <c r="A65" s="9"/>
      <c r="B65" s="9"/>
      <c r="C65" s="9"/>
      <c r="D65" s="10" t="str">
        <f aca="false">IF(A65="","",IFERROR(IF(INDEX('2 Measurements'!$B$2:$B$201,MATCH(A65,'2 Measurements'!$A$2:$A$201,0))="Measurement",'Read me'!$B$9&amp;"/"&amp;INDEX('2 Assets'!$F$2:$F$201,MATCH(INDEX('2 Measurements'!$C$2:$C$201,MATCH(A65,'2 Measurements'!$A$2:$A$201,0)),'2 Assets'!$A$2:$A$201,0))&amp;"/"&amp;INDEX('2 Measurements'!$F$2:$F$201,MATCH(A65,'2 Measurements'!$A$2:$A$201,0)),'Read me'!$B$10&amp;"/"&amp;IFERROR(IF(INDEX('2 Assets'!$E$2:$E$201,MATCH(INDEX('2 Assets'!$M$2:$M$201,MATCH(INDEX('2 Measurements'!$C$2:$C$201,MATCH(A65,'2 Measurements'!$A$2:$A$201,0)),'2 Assets'!$A$2:$A$201,0)),'2 Assets'!$A$2:$A$201,0))="",INDEX('2 Assets'!$M$2:$M$201,MATCH(INDEX('2 Measurements'!$C$2:$C$201,MATCH(A65,'2 Measurements'!$A$2:$A$201,0)),'2 Assets'!$A$2:$A$201,0)),INDEX('2 Assets'!$E$2:$E$201,MATCH(INDEX('2 Assets'!$M$2:$M$201,MATCH(INDEX('2 Measurements'!$C$2:$C$201,MATCH(A65,'2 Measurements'!$A$2:$A$201,0)),'2 Assets'!$A$2:$A$201,0)),'2 Assets'!$A$2:$A$201,0))),INDEX('2 Assets'!$M$2:$M$201,MATCH(INDEX('2 Measurements'!$C$2:$C$201,MATCH(A65,'2 Measurements'!$A$2:$A$201,0)),'2 Assets'!$A$2:$A$201,0)))&amp;"/"&amp;INDEX('2 Measurements'!$C$2:$C$201,MATCH(A65,'2 Measurements'!$A$2:$A$201,0))&amp;"/"&amp;INDEX('2 Measurements'!$F$2:$F$201,MATCH(A65,'2 Measurements'!$A$2:$A$201,0))),""))</f>
        <v/>
      </c>
      <c r="E65" s="10" t="str">
        <f aca="false">IF(A65="","",IF(SUMPRODUCT(--EXACT('2 Measurements'!$A$2:$A$201,A65))=0,"Not on the Measurements sheet",IF(SUMPRODUCT(--EXACT($A$2:$A$201,A65))&gt;1,"Listed twice",IF(D65="","Topic could not be built: check the asset and the measurement",IF(COUNTIF($D$2:$D$201,D65)&gt;1,"Topic used twice","ok")))))</f>
        <v/>
      </c>
    </row>
    <row r="66" customFormat="false" ht="15" hidden="false" customHeight="false" outlineLevel="0" collapsed="false">
      <c r="A66" s="9"/>
      <c r="B66" s="9"/>
      <c r="C66" s="9"/>
      <c r="D66" s="10" t="str">
        <f aca="false">IF(A66="","",IFERROR(IF(INDEX('2 Measurements'!$B$2:$B$201,MATCH(A66,'2 Measurements'!$A$2:$A$201,0))="Measurement",'Read me'!$B$9&amp;"/"&amp;INDEX('2 Assets'!$F$2:$F$201,MATCH(INDEX('2 Measurements'!$C$2:$C$201,MATCH(A66,'2 Measurements'!$A$2:$A$201,0)),'2 Assets'!$A$2:$A$201,0))&amp;"/"&amp;INDEX('2 Measurements'!$F$2:$F$201,MATCH(A66,'2 Measurements'!$A$2:$A$201,0)),'Read me'!$B$10&amp;"/"&amp;IFERROR(IF(INDEX('2 Assets'!$E$2:$E$201,MATCH(INDEX('2 Assets'!$M$2:$M$201,MATCH(INDEX('2 Measurements'!$C$2:$C$201,MATCH(A66,'2 Measurements'!$A$2:$A$201,0)),'2 Assets'!$A$2:$A$201,0)),'2 Assets'!$A$2:$A$201,0))="",INDEX('2 Assets'!$M$2:$M$201,MATCH(INDEX('2 Measurements'!$C$2:$C$201,MATCH(A66,'2 Measurements'!$A$2:$A$201,0)),'2 Assets'!$A$2:$A$201,0)),INDEX('2 Assets'!$E$2:$E$201,MATCH(INDEX('2 Assets'!$M$2:$M$201,MATCH(INDEX('2 Measurements'!$C$2:$C$201,MATCH(A66,'2 Measurements'!$A$2:$A$201,0)),'2 Assets'!$A$2:$A$201,0)),'2 Assets'!$A$2:$A$201,0))),INDEX('2 Assets'!$M$2:$M$201,MATCH(INDEX('2 Measurements'!$C$2:$C$201,MATCH(A66,'2 Measurements'!$A$2:$A$201,0)),'2 Assets'!$A$2:$A$201,0)))&amp;"/"&amp;INDEX('2 Measurements'!$C$2:$C$201,MATCH(A66,'2 Measurements'!$A$2:$A$201,0))&amp;"/"&amp;INDEX('2 Measurements'!$F$2:$F$201,MATCH(A66,'2 Measurements'!$A$2:$A$201,0))),""))</f>
        <v/>
      </c>
      <c r="E66" s="10" t="str">
        <f aca="false">IF(A66="","",IF(SUMPRODUCT(--EXACT('2 Measurements'!$A$2:$A$201,A66))=0,"Not on the Measurements sheet",IF(SUMPRODUCT(--EXACT($A$2:$A$201,A66))&gt;1,"Listed twice",IF(D66="","Topic could not be built: check the asset and the measurement",IF(COUNTIF($D$2:$D$201,D66)&gt;1,"Topic used twice","ok")))))</f>
        <v/>
      </c>
    </row>
    <row r="67" customFormat="false" ht="15" hidden="false" customHeight="false" outlineLevel="0" collapsed="false">
      <c r="A67" s="9"/>
      <c r="B67" s="9"/>
      <c r="C67" s="9"/>
      <c r="D67" s="10" t="str">
        <f aca="false">IF(A67="","",IFERROR(IF(INDEX('2 Measurements'!$B$2:$B$201,MATCH(A67,'2 Measurements'!$A$2:$A$201,0))="Measurement",'Read me'!$B$9&amp;"/"&amp;INDEX('2 Assets'!$F$2:$F$201,MATCH(INDEX('2 Measurements'!$C$2:$C$201,MATCH(A67,'2 Measurements'!$A$2:$A$201,0)),'2 Assets'!$A$2:$A$201,0))&amp;"/"&amp;INDEX('2 Measurements'!$F$2:$F$201,MATCH(A67,'2 Measurements'!$A$2:$A$201,0)),'Read me'!$B$10&amp;"/"&amp;IFERROR(IF(INDEX('2 Assets'!$E$2:$E$201,MATCH(INDEX('2 Assets'!$M$2:$M$201,MATCH(INDEX('2 Measurements'!$C$2:$C$201,MATCH(A67,'2 Measurements'!$A$2:$A$201,0)),'2 Assets'!$A$2:$A$201,0)),'2 Assets'!$A$2:$A$201,0))="",INDEX('2 Assets'!$M$2:$M$201,MATCH(INDEX('2 Measurements'!$C$2:$C$201,MATCH(A67,'2 Measurements'!$A$2:$A$201,0)),'2 Assets'!$A$2:$A$201,0)),INDEX('2 Assets'!$E$2:$E$201,MATCH(INDEX('2 Assets'!$M$2:$M$201,MATCH(INDEX('2 Measurements'!$C$2:$C$201,MATCH(A67,'2 Measurements'!$A$2:$A$201,0)),'2 Assets'!$A$2:$A$201,0)),'2 Assets'!$A$2:$A$201,0))),INDEX('2 Assets'!$M$2:$M$201,MATCH(INDEX('2 Measurements'!$C$2:$C$201,MATCH(A67,'2 Measurements'!$A$2:$A$201,0)),'2 Assets'!$A$2:$A$201,0)))&amp;"/"&amp;INDEX('2 Measurements'!$C$2:$C$201,MATCH(A67,'2 Measurements'!$A$2:$A$201,0))&amp;"/"&amp;INDEX('2 Measurements'!$F$2:$F$201,MATCH(A67,'2 Measurements'!$A$2:$A$201,0))),""))</f>
        <v/>
      </c>
      <c r="E67" s="10" t="str">
        <f aca="false">IF(A67="","",IF(SUMPRODUCT(--EXACT('2 Measurements'!$A$2:$A$201,A67))=0,"Not on the Measurements sheet",IF(SUMPRODUCT(--EXACT($A$2:$A$201,A67))&gt;1,"Listed twice",IF(D67="","Topic could not be built: check the asset and the measurement",IF(COUNTIF($D$2:$D$201,D67)&gt;1,"Topic used twice","ok")))))</f>
        <v/>
      </c>
    </row>
    <row r="68" customFormat="false" ht="15" hidden="false" customHeight="false" outlineLevel="0" collapsed="false">
      <c r="A68" s="9"/>
      <c r="B68" s="9"/>
      <c r="C68" s="9"/>
      <c r="D68" s="10" t="str">
        <f aca="false">IF(A68="","",IFERROR(IF(INDEX('2 Measurements'!$B$2:$B$201,MATCH(A68,'2 Measurements'!$A$2:$A$201,0))="Measurement",'Read me'!$B$9&amp;"/"&amp;INDEX('2 Assets'!$F$2:$F$201,MATCH(INDEX('2 Measurements'!$C$2:$C$201,MATCH(A68,'2 Measurements'!$A$2:$A$201,0)),'2 Assets'!$A$2:$A$201,0))&amp;"/"&amp;INDEX('2 Measurements'!$F$2:$F$201,MATCH(A68,'2 Measurements'!$A$2:$A$201,0)),'Read me'!$B$10&amp;"/"&amp;IFERROR(IF(INDEX('2 Assets'!$E$2:$E$201,MATCH(INDEX('2 Assets'!$M$2:$M$201,MATCH(INDEX('2 Measurements'!$C$2:$C$201,MATCH(A68,'2 Measurements'!$A$2:$A$201,0)),'2 Assets'!$A$2:$A$201,0)),'2 Assets'!$A$2:$A$201,0))="",INDEX('2 Assets'!$M$2:$M$201,MATCH(INDEX('2 Measurements'!$C$2:$C$201,MATCH(A68,'2 Measurements'!$A$2:$A$201,0)),'2 Assets'!$A$2:$A$201,0)),INDEX('2 Assets'!$E$2:$E$201,MATCH(INDEX('2 Assets'!$M$2:$M$201,MATCH(INDEX('2 Measurements'!$C$2:$C$201,MATCH(A68,'2 Measurements'!$A$2:$A$201,0)),'2 Assets'!$A$2:$A$201,0)),'2 Assets'!$A$2:$A$201,0))),INDEX('2 Assets'!$M$2:$M$201,MATCH(INDEX('2 Measurements'!$C$2:$C$201,MATCH(A68,'2 Measurements'!$A$2:$A$201,0)),'2 Assets'!$A$2:$A$201,0)))&amp;"/"&amp;INDEX('2 Measurements'!$C$2:$C$201,MATCH(A68,'2 Measurements'!$A$2:$A$201,0))&amp;"/"&amp;INDEX('2 Measurements'!$F$2:$F$201,MATCH(A68,'2 Measurements'!$A$2:$A$201,0))),""))</f>
        <v/>
      </c>
      <c r="E68" s="10" t="str">
        <f aca="false">IF(A68="","",IF(SUMPRODUCT(--EXACT('2 Measurements'!$A$2:$A$201,A68))=0,"Not on the Measurements sheet",IF(SUMPRODUCT(--EXACT($A$2:$A$201,A68))&gt;1,"Listed twice",IF(D68="","Topic could not be built: check the asset and the measurement",IF(COUNTIF($D$2:$D$201,D68)&gt;1,"Topic used twice","ok")))))</f>
        <v/>
      </c>
    </row>
    <row r="69" customFormat="false" ht="15" hidden="false" customHeight="false" outlineLevel="0" collapsed="false">
      <c r="A69" s="9"/>
      <c r="B69" s="9"/>
      <c r="C69" s="9"/>
      <c r="D69" s="10" t="str">
        <f aca="false">IF(A69="","",IFERROR(IF(INDEX('2 Measurements'!$B$2:$B$201,MATCH(A69,'2 Measurements'!$A$2:$A$201,0))="Measurement",'Read me'!$B$9&amp;"/"&amp;INDEX('2 Assets'!$F$2:$F$201,MATCH(INDEX('2 Measurements'!$C$2:$C$201,MATCH(A69,'2 Measurements'!$A$2:$A$201,0)),'2 Assets'!$A$2:$A$201,0))&amp;"/"&amp;INDEX('2 Measurements'!$F$2:$F$201,MATCH(A69,'2 Measurements'!$A$2:$A$201,0)),'Read me'!$B$10&amp;"/"&amp;IFERROR(IF(INDEX('2 Assets'!$E$2:$E$201,MATCH(INDEX('2 Assets'!$M$2:$M$201,MATCH(INDEX('2 Measurements'!$C$2:$C$201,MATCH(A69,'2 Measurements'!$A$2:$A$201,0)),'2 Assets'!$A$2:$A$201,0)),'2 Assets'!$A$2:$A$201,0))="",INDEX('2 Assets'!$M$2:$M$201,MATCH(INDEX('2 Measurements'!$C$2:$C$201,MATCH(A69,'2 Measurements'!$A$2:$A$201,0)),'2 Assets'!$A$2:$A$201,0)),INDEX('2 Assets'!$E$2:$E$201,MATCH(INDEX('2 Assets'!$M$2:$M$201,MATCH(INDEX('2 Measurements'!$C$2:$C$201,MATCH(A69,'2 Measurements'!$A$2:$A$201,0)),'2 Assets'!$A$2:$A$201,0)),'2 Assets'!$A$2:$A$201,0))),INDEX('2 Assets'!$M$2:$M$201,MATCH(INDEX('2 Measurements'!$C$2:$C$201,MATCH(A69,'2 Measurements'!$A$2:$A$201,0)),'2 Assets'!$A$2:$A$201,0)))&amp;"/"&amp;INDEX('2 Measurements'!$C$2:$C$201,MATCH(A69,'2 Measurements'!$A$2:$A$201,0))&amp;"/"&amp;INDEX('2 Measurements'!$F$2:$F$201,MATCH(A69,'2 Measurements'!$A$2:$A$201,0))),""))</f>
        <v/>
      </c>
      <c r="E69" s="10" t="str">
        <f aca="false">IF(A69="","",IF(SUMPRODUCT(--EXACT('2 Measurements'!$A$2:$A$201,A69))=0,"Not on the Measurements sheet",IF(SUMPRODUCT(--EXACT($A$2:$A$201,A69))&gt;1,"Listed twice",IF(D69="","Topic could not be built: check the asset and the measurement",IF(COUNTIF($D$2:$D$201,D69)&gt;1,"Topic used twice","ok")))))</f>
        <v/>
      </c>
    </row>
    <row r="70" customFormat="false" ht="15" hidden="false" customHeight="false" outlineLevel="0" collapsed="false">
      <c r="A70" s="9"/>
      <c r="B70" s="9"/>
      <c r="C70" s="9"/>
      <c r="D70" s="10" t="str">
        <f aca="false">IF(A70="","",IFERROR(IF(INDEX('2 Measurements'!$B$2:$B$201,MATCH(A70,'2 Measurements'!$A$2:$A$201,0))="Measurement",'Read me'!$B$9&amp;"/"&amp;INDEX('2 Assets'!$F$2:$F$201,MATCH(INDEX('2 Measurements'!$C$2:$C$201,MATCH(A70,'2 Measurements'!$A$2:$A$201,0)),'2 Assets'!$A$2:$A$201,0))&amp;"/"&amp;INDEX('2 Measurements'!$F$2:$F$201,MATCH(A70,'2 Measurements'!$A$2:$A$201,0)),'Read me'!$B$10&amp;"/"&amp;IFERROR(IF(INDEX('2 Assets'!$E$2:$E$201,MATCH(INDEX('2 Assets'!$M$2:$M$201,MATCH(INDEX('2 Measurements'!$C$2:$C$201,MATCH(A70,'2 Measurements'!$A$2:$A$201,0)),'2 Assets'!$A$2:$A$201,0)),'2 Assets'!$A$2:$A$201,0))="",INDEX('2 Assets'!$M$2:$M$201,MATCH(INDEX('2 Measurements'!$C$2:$C$201,MATCH(A70,'2 Measurements'!$A$2:$A$201,0)),'2 Assets'!$A$2:$A$201,0)),INDEX('2 Assets'!$E$2:$E$201,MATCH(INDEX('2 Assets'!$M$2:$M$201,MATCH(INDEX('2 Measurements'!$C$2:$C$201,MATCH(A70,'2 Measurements'!$A$2:$A$201,0)),'2 Assets'!$A$2:$A$201,0)),'2 Assets'!$A$2:$A$201,0))),INDEX('2 Assets'!$M$2:$M$201,MATCH(INDEX('2 Measurements'!$C$2:$C$201,MATCH(A70,'2 Measurements'!$A$2:$A$201,0)),'2 Assets'!$A$2:$A$201,0)))&amp;"/"&amp;INDEX('2 Measurements'!$C$2:$C$201,MATCH(A70,'2 Measurements'!$A$2:$A$201,0))&amp;"/"&amp;INDEX('2 Measurements'!$F$2:$F$201,MATCH(A70,'2 Measurements'!$A$2:$A$201,0))),""))</f>
        <v/>
      </c>
      <c r="E70" s="10" t="str">
        <f aca="false">IF(A70="","",IF(SUMPRODUCT(--EXACT('2 Measurements'!$A$2:$A$201,A70))=0,"Not on the Measurements sheet",IF(SUMPRODUCT(--EXACT($A$2:$A$201,A70))&gt;1,"Listed twice",IF(D70="","Topic could not be built: check the asset and the measurement",IF(COUNTIF($D$2:$D$201,D70)&gt;1,"Topic used twice","ok")))))</f>
        <v/>
      </c>
    </row>
    <row r="71" customFormat="false" ht="15" hidden="false" customHeight="false" outlineLevel="0" collapsed="false">
      <c r="A71" s="9"/>
      <c r="B71" s="9"/>
      <c r="C71" s="9"/>
      <c r="D71" s="10" t="str">
        <f aca="false">IF(A71="","",IFERROR(IF(INDEX('2 Measurements'!$B$2:$B$201,MATCH(A71,'2 Measurements'!$A$2:$A$201,0))="Measurement",'Read me'!$B$9&amp;"/"&amp;INDEX('2 Assets'!$F$2:$F$201,MATCH(INDEX('2 Measurements'!$C$2:$C$201,MATCH(A71,'2 Measurements'!$A$2:$A$201,0)),'2 Assets'!$A$2:$A$201,0))&amp;"/"&amp;INDEX('2 Measurements'!$F$2:$F$201,MATCH(A71,'2 Measurements'!$A$2:$A$201,0)),'Read me'!$B$10&amp;"/"&amp;IFERROR(IF(INDEX('2 Assets'!$E$2:$E$201,MATCH(INDEX('2 Assets'!$M$2:$M$201,MATCH(INDEX('2 Measurements'!$C$2:$C$201,MATCH(A71,'2 Measurements'!$A$2:$A$201,0)),'2 Assets'!$A$2:$A$201,0)),'2 Assets'!$A$2:$A$201,0))="",INDEX('2 Assets'!$M$2:$M$201,MATCH(INDEX('2 Measurements'!$C$2:$C$201,MATCH(A71,'2 Measurements'!$A$2:$A$201,0)),'2 Assets'!$A$2:$A$201,0)),INDEX('2 Assets'!$E$2:$E$201,MATCH(INDEX('2 Assets'!$M$2:$M$201,MATCH(INDEX('2 Measurements'!$C$2:$C$201,MATCH(A71,'2 Measurements'!$A$2:$A$201,0)),'2 Assets'!$A$2:$A$201,0)),'2 Assets'!$A$2:$A$201,0))),INDEX('2 Assets'!$M$2:$M$201,MATCH(INDEX('2 Measurements'!$C$2:$C$201,MATCH(A71,'2 Measurements'!$A$2:$A$201,0)),'2 Assets'!$A$2:$A$201,0)))&amp;"/"&amp;INDEX('2 Measurements'!$C$2:$C$201,MATCH(A71,'2 Measurements'!$A$2:$A$201,0))&amp;"/"&amp;INDEX('2 Measurements'!$F$2:$F$201,MATCH(A71,'2 Measurements'!$A$2:$A$201,0))),""))</f>
        <v/>
      </c>
      <c r="E71" s="10" t="str">
        <f aca="false">IF(A71="","",IF(SUMPRODUCT(--EXACT('2 Measurements'!$A$2:$A$201,A71))=0,"Not on the Measurements sheet",IF(SUMPRODUCT(--EXACT($A$2:$A$201,A71))&gt;1,"Listed twice",IF(D71="","Topic could not be built: check the asset and the measurement",IF(COUNTIF($D$2:$D$201,D71)&gt;1,"Topic used twice","ok")))))</f>
        <v/>
      </c>
    </row>
    <row r="72" customFormat="false" ht="15" hidden="false" customHeight="false" outlineLevel="0" collapsed="false">
      <c r="A72" s="9"/>
      <c r="B72" s="9"/>
      <c r="C72" s="9"/>
      <c r="D72" s="10" t="str">
        <f aca="false">IF(A72="","",IFERROR(IF(INDEX('2 Measurements'!$B$2:$B$201,MATCH(A72,'2 Measurements'!$A$2:$A$201,0))="Measurement",'Read me'!$B$9&amp;"/"&amp;INDEX('2 Assets'!$F$2:$F$201,MATCH(INDEX('2 Measurements'!$C$2:$C$201,MATCH(A72,'2 Measurements'!$A$2:$A$201,0)),'2 Assets'!$A$2:$A$201,0))&amp;"/"&amp;INDEX('2 Measurements'!$F$2:$F$201,MATCH(A72,'2 Measurements'!$A$2:$A$201,0)),'Read me'!$B$10&amp;"/"&amp;IFERROR(IF(INDEX('2 Assets'!$E$2:$E$201,MATCH(INDEX('2 Assets'!$M$2:$M$201,MATCH(INDEX('2 Measurements'!$C$2:$C$201,MATCH(A72,'2 Measurements'!$A$2:$A$201,0)),'2 Assets'!$A$2:$A$201,0)),'2 Assets'!$A$2:$A$201,0))="",INDEX('2 Assets'!$M$2:$M$201,MATCH(INDEX('2 Measurements'!$C$2:$C$201,MATCH(A72,'2 Measurements'!$A$2:$A$201,0)),'2 Assets'!$A$2:$A$201,0)),INDEX('2 Assets'!$E$2:$E$201,MATCH(INDEX('2 Assets'!$M$2:$M$201,MATCH(INDEX('2 Measurements'!$C$2:$C$201,MATCH(A72,'2 Measurements'!$A$2:$A$201,0)),'2 Assets'!$A$2:$A$201,0)),'2 Assets'!$A$2:$A$201,0))),INDEX('2 Assets'!$M$2:$M$201,MATCH(INDEX('2 Measurements'!$C$2:$C$201,MATCH(A72,'2 Measurements'!$A$2:$A$201,0)),'2 Assets'!$A$2:$A$201,0)))&amp;"/"&amp;INDEX('2 Measurements'!$C$2:$C$201,MATCH(A72,'2 Measurements'!$A$2:$A$201,0))&amp;"/"&amp;INDEX('2 Measurements'!$F$2:$F$201,MATCH(A72,'2 Measurements'!$A$2:$A$201,0))),""))</f>
        <v/>
      </c>
      <c r="E72" s="10" t="str">
        <f aca="false">IF(A72="","",IF(SUMPRODUCT(--EXACT('2 Measurements'!$A$2:$A$201,A72))=0,"Not on the Measurements sheet",IF(SUMPRODUCT(--EXACT($A$2:$A$201,A72))&gt;1,"Listed twice",IF(D72="","Topic could not be built: check the asset and the measurement",IF(COUNTIF($D$2:$D$201,D72)&gt;1,"Topic used twice","ok")))))</f>
        <v/>
      </c>
    </row>
    <row r="73" customFormat="false" ht="15" hidden="false" customHeight="false" outlineLevel="0" collapsed="false">
      <c r="A73" s="9"/>
      <c r="B73" s="9"/>
      <c r="C73" s="9"/>
      <c r="D73" s="10" t="str">
        <f aca="false">IF(A73="","",IFERROR(IF(INDEX('2 Measurements'!$B$2:$B$201,MATCH(A73,'2 Measurements'!$A$2:$A$201,0))="Measurement",'Read me'!$B$9&amp;"/"&amp;INDEX('2 Assets'!$F$2:$F$201,MATCH(INDEX('2 Measurements'!$C$2:$C$201,MATCH(A73,'2 Measurements'!$A$2:$A$201,0)),'2 Assets'!$A$2:$A$201,0))&amp;"/"&amp;INDEX('2 Measurements'!$F$2:$F$201,MATCH(A73,'2 Measurements'!$A$2:$A$201,0)),'Read me'!$B$10&amp;"/"&amp;IFERROR(IF(INDEX('2 Assets'!$E$2:$E$201,MATCH(INDEX('2 Assets'!$M$2:$M$201,MATCH(INDEX('2 Measurements'!$C$2:$C$201,MATCH(A73,'2 Measurements'!$A$2:$A$201,0)),'2 Assets'!$A$2:$A$201,0)),'2 Assets'!$A$2:$A$201,0))="",INDEX('2 Assets'!$M$2:$M$201,MATCH(INDEX('2 Measurements'!$C$2:$C$201,MATCH(A73,'2 Measurements'!$A$2:$A$201,0)),'2 Assets'!$A$2:$A$201,0)),INDEX('2 Assets'!$E$2:$E$201,MATCH(INDEX('2 Assets'!$M$2:$M$201,MATCH(INDEX('2 Measurements'!$C$2:$C$201,MATCH(A73,'2 Measurements'!$A$2:$A$201,0)),'2 Assets'!$A$2:$A$201,0)),'2 Assets'!$A$2:$A$201,0))),INDEX('2 Assets'!$M$2:$M$201,MATCH(INDEX('2 Measurements'!$C$2:$C$201,MATCH(A73,'2 Measurements'!$A$2:$A$201,0)),'2 Assets'!$A$2:$A$201,0)))&amp;"/"&amp;INDEX('2 Measurements'!$C$2:$C$201,MATCH(A73,'2 Measurements'!$A$2:$A$201,0))&amp;"/"&amp;INDEX('2 Measurements'!$F$2:$F$201,MATCH(A73,'2 Measurements'!$A$2:$A$201,0))),""))</f>
        <v/>
      </c>
      <c r="E73" s="10" t="str">
        <f aca="false">IF(A73="","",IF(SUMPRODUCT(--EXACT('2 Measurements'!$A$2:$A$201,A73))=0,"Not on the Measurements sheet",IF(SUMPRODUCT(--EXACT($A$2:$A$201,A73))&gt;1,"Listed twice",IF(D73="","Topic could not be built: check the asset and the measurement",IF(COUNTIF($D$2:$D$201,D73)&gt;1,"Topic used twice","ok")))))</f>
        <v/>
      </c>
    </row>
    <row r="74" customFormat="false" ht="15" hidden="false" customHeight="false" outlineLevel="0" collapsed="false">
      <c r="A74" s="9"/>
      <c r="B74" s="9"/>
      <c r="C74" s="9"/>
      <c r="D74" s="10" t="str">
        <f aca="false">IF(A74="","",IFERROR(IF(INDEX('2 Measurements'!$B$2:$B$201,MATCH(A74,'2 Measurements'!$A$2:$A$201,0))="Measurement",'Read me'!$B$9&amp;"/"&amp;INDEX('2 Assets'!$F$2:$F$201,MATCH(INDEX('2 Measurements'!$C$2:$C$201,MATCH(A74,'2 Measurements'!$A$2:$A$201,0)),'2 Assets'!$A$2:$A$201,0))&amp;"/"&amp;INDEX('2 Measurements'!$F$2:$F$201,MATCH(A74,'2 Measurements'!$A$2:$A$201,0)),'Read me'!$B$10&amp;"/"&amp;IFERROR(IF(INDEX('2 Assets'!$E$2:$E$201,MATCH(INDEX('2 Assets'!$M$2:$M$201,MATCH(INDEX('2 Measurements'!$C$2:$C$201,MATCH(A74,'2 Measurements'!$A$2:$A$201,0)),'2 Assets'!$A$2:$A$201,0)),'2 Assets'!$A$2:$A$201,0))="",INDEX('2 Assets'!$M$2:$M$201,MATCH(INDEX('2 Measurements'!$C$2:$C$201,MATCH(A74,'2 Measurements'!$A$2:$A$201,0)),'2 Assets'!$A$2:$A$201,0)),INDEX('2 Assets'!$E$2:$E$201,MATCH(INDEX('2 Assets'!$M$2:$M$201,MATCH(INDEX('2 Measurements'!$C$2:$C$201,MATCH(A74,'2 Measurements'!$A$2:$A$201,0)),'2 Assets'!$A$2:$A$201,0)),'2 Assets'!$A$2:$A$201,0))),INDEX('2 Assets'!$M$2:$M$201,MATCH(INDEX('2 Measurements'!$C$2:$C$201,MATCH(A74,'2 Measurements'!$A$2:$A$201,0)),'2 Assets'!$A$2:$A$201,0)))&amp;"/"&amp;INDEX('2 Measurements'!$C$2:$C$201,MATCH(A74,'2 Measurements'!$A$2:$A$201,0))&amp;"/"&amp;INDEX('2 Measurements'!$F$2:$F$201,MATCH(A74,'2 Measurements'!$A$2:$A$201,0))),""))</f>
        <v/>
      </c>
      <c r="E74" s="10" t="str">
        <f aca="false">IF(A74="","",IF(SUMPRODUCT(--EXACT('2 Measurements'!$A$2:$A$201,A74))=0,"Not on the Measurements sheet",IF(SUMPRODUCT(--EXACT($A$2:$A$201,A74))&gt;1,"Listed twice",IF(D74="","Topic could not be built: check the asset and the measurement",IF(COUNTIF($D$2:$D$201,D74)&gt;1,"Topic used twice","ok")))))</f>
        <v/>
      </c>
    </row>
    <row r="75" customFormat="false" ht="15" hidden="false" customHeight="false" outlineLevel="0" collapsed="false">
      <c r="A75" s="9"/>
      <c r="B75" s="9"/>
      <c r="C75" s="9"/>
      <c r="D75" s="10" t="str">
        <f aca="false">IF(A75="","",IFERROR(IF(INDEX('2 Measurements'!$B$2:$B$201,MATCH(A75,'2 Measurements'!$A$2:$A$201,0))="Measurement",'Read me'!$B$9&amp;"/"&amp;INDEX('2 Assets'!$F$2:$F$201,MATCH(INDEX('2 Measurements'!$C$2:$C$201,MATCH(A75,'2 Measurements'!$A$2:$A$201,0)),'2 Assets'!$A$2:$A$201,0))&amp;"/"&amp;INDEX('2 Measurements'!$F$2:$F$201,MATCH(A75,'2 Measurements'!$A$2:$A$201,0)),'Read me'!$B$10&amp;"/"&amp;IFERROR(IF(INDEX('2 Assets'!$E$2:$E$201,MATCH(INDEX('2 Assets'!$M$2:$M$201,MATCH(INDEX('2 Measurements'!$C$2:$C$201,MATCH(A75,'2 Measurements'!$A$2:$A$201,0)),'2 Assets'!$A$2:$A$201,0)),'2 Assets'!$A$2:$A$201,0))="",INDEX('2 Assets'!$M$2:$M$201,MATCH(INDEX('2 Measurements'!$C$2:$C$201,MATCH(A75,'2 Measurements'!$A$2:$A$201,0)),'2 Assets'!$A$2:$A$201,0)),INDEX('2 Assets'!$E$2:$E$201,MATCH(INDEX('2 Assets'!$M$2:$M$201,MATCH(INDEX('2 Measurements'!$C$2:$C$201,MATCH(A75,'2 Measurements'!$A$2:$A$201,0)),'2 Assets'!$A$2:$A$201,0)),'2 Assets'!$A$2:$A$201,0))),INDEX('2 Assets'!$M$2:$M$201,MATCH(INDEX('2 Measurements'!$C$2:$C$201,MATCH(A75,'2 Measurements'!$A$2:$A$201,0)),'2 Assets'!$A$2:$A$201,0)))&amp;"/"&amp;INDEX('2 Measurements'!$C$2:$C$201,MATCH(A75,'2 Measurements'!$A$2:$A$201,0))&amp;"/"&amp;INDEX('2 Measurements'!$F$2:$F$201,MATCH(A75,'2 Measurements'!$A$2:$A$201,0))),""))</f>
        <v/>
      </c>
      <c r="E75" s="10" t="str">
        <f aca="false">IF(A75="","",IF(SUMPRODUCT(--EXACT('2 Measurements'!$A$2:$A$201,A75))=0,"Not on the Measurements sheet",IF(SUMPRODUCT(--EXACT($A$2:$A$201,A75))&gt;1,"Listed twice",IF(D75="","Topic could not be built: check the asset and the measurement",IF(COUNTIF($D$2:$D$201,D75)&gt;1,"Topic used twice","ok")))))</f>
        <v/>
      </c>
    </row>
    <row r="76" customFormat="false" ht="15" hidden="false" customHeight="false" outlineLevel="0" collapsed="false">
      <c r="A76" s="9"/>
      <c r="B76" s="9"/>
      <c r="C76" s="9"/>
      <c r="D76" s="10" t="str">
        <f aca="false">IF(A76="","",IFERROR(IF(INDEX('2 Measurements'!$B$2:$B$201,MATCH(A76,'2 Measurements'!$A$2:$A$201,0))="Measurement",'Read me'!$B$9&amp;"/"&amp;INDEX('2 Assets'!$F$2:$F$201,MATCH(INDEX('2 Measurements'!$C$2:$C$201,MATCH(A76,'2 Measurements'!$A$2:$A$201,0)),'2 Assets'!$A$2:$A$201,0))&amp;"/"&amp;INDEX('2 Measurements'!$F$2:$F$201,MATCH(A76,'2 Measurements'!$A$2:$A$201,0)),'Read me'!$B$10&amp;"/"&amp;IFERROR(IF(INDEX('2 Assets'!$E$2:$E$201,MATCH(INDEX('2 Assets'!$M$2:$M$201,MATCH(INDEX('2 Measurements'!$C$2:$C$201,MATCH(A76,'2 Measurements'!$A$2:$A$201,0)),'2 Assets'!$A$2:$A$201,0)),'2 Assets'!$A$2:$A$201,0))="",INDEX('2 Assets'!$M$2:$M$201,MATCH(INDEX('2 Measurements'!$C$2:$C$201,MATCH(A76,'2 Measurements'!$A$2:$A$201,0)),'2 Assets'!$A$2:$A$201,0)),INDEX('2 Assets'!$E$2:$E$201,MATCH(INDEX('2 Assets'!$M$2:$M$201,MATCH(INDEX('2 Measurements'!$C$2:$C$201,MATCH(A76,'2 Measurements'!$A$2:$A$201,0)),'2 Assets'!$A$2:$A$201,0)),'2 Assets'!$A$2:$A$201,0))),INDEX('2 Assets'!$M$2:$M$201,MATCH(INDEX('2 Measurements'!$C$2:$C$201,MATCH(A76,'2 Measurements'!$A$2:$A$201,0)),'2 Assets'!$A$2:$A$201,0)))&amp;"/"&amp;INDEX('2 Measurements'!$C$2:$C$201,MATCH(A76,'2 Measurements'!$A$2:$A$201,0))&amp;"/"&amp;INDEX('2 Measurements'!$F$2:$F$201,MATCH(A76,'2 Measurements'!$A$2:$A$201,0))),""))</f>
        <v/>
      </c>
      <c r="E76" s="10" t="str">
        <f aca="false">IF(A76="","",IF(SUMPRODUCT(--EXACT('2 Measurements'!$A$2:$A$201,A76))=0,"Not on the Measurements sheet",IF(SUMPRODUCT(--EXACT($A$2:$A$201,A76))&gt;1,"Listed twice",IF(D76="","Topic could not be built: check the asset and the measurement",IF(COUNTIF($D$2:$D$201,D76)&gt;1,"Topic used twice","ok")))))</f>
        <v/>
      </c>
    </row>
    <row r="77" customFormat="false" ht="15" hidden="false" customHeight="false" outlineLevel="0" collapsed="false">
      <c r="A77" s="9"/>
      <c r="B77" s="9"/>
      <c r="C77" s="9"/>
      <c r="D77" s="10" t="str">
        <f aca="false">IF(A77="","",IFERROR(IF(INDEX('2 Measurements'!$B$2:$B$201,MATCH(A77,'2 Measurements'!$A$2:$A$201,0))="Measurement",'Read me'!$B$9&amp;"/"&amp;INDEX('2 Assets'!$F$2:$F$201,MATCH(INDEX('2 Measurements'!$C$2:$C$201,MATCH(A77,'2 Measurements'!$A$2:$A$201,0)),'2 Assets'!$A$2:$A$201,0))&amp;"/"&amp;INDEX('2 Measurements'!$F$2:$F$201,MATCH(A77,'2 Measurements'!$A$2:$A$201,0)),'Read me'!$B$10&amp;"/"&amp;IFERROR(IF(INDEX('2 Assets'!$E$2:$E$201,MATCH(INDEX('2 Assets'!$M$2:$M$201,MATCH(INDEX('2 Measurements'!$C$2:$C$201,MATCH(A77,'2 Measurements'!$A$2:$A$201,0)),'2 Assets'!$A$2:$A$201,0)),'2 Assets'!$A$2:$A$201,0))="",INDEX('2 Assets'!$M$2:$M$201,MATCH(INDEX('2 Measurements'!$C$2:$C$201,MATCH(A77,'2 Measurements'!$A$2:$A$201,0)),'2 Assets'!$A$2:$A$201,0)),INDEX('2 Assets'!$E$2:$E$201,MATCH(INDEX('2 Assets'!$M$2:$M$201,MATCH(INDEX('2 Measurements'!$C$2:$C$201,MATCH(A77,'2 Measurements'!$A$2:$A$201,0)),'2 Assets'!$A$2:$A$201,0)),'2 Assets'!$A$2:$A$201,0))),INDEX('2 Assets'!$M$2:$M$201,MATCH(INDEX('2 Measurements'!$C$2:$C$201,MATCH(A77,'2 Measurements'!$A$2:$A$201,0)),'2 Assets'!$A$2:$A$201,0)))&amp;"/"&amp;INDEX('2 Measurements'!$C$2:$C$201,MATCH(A77,'2 Measurements'!$A$2:$A$201,0))&amp;"/"&amp;INDEX('2 Measurements'!$F$2:$F$201,MATCH(A77,'2 Measurements'!$A$2:$A$201,0))),""))</f>
        <v/>
      </c>
      <c r="E77" s="10" t="str">
        <f aca="false">IF(A77="","",IF(SUMPRODUCT(--EXACT('2 Measurements'!$A$2:$A$201,A77))=0,"Not on the Measurements sheet",IF(SUMPRODUCT(--EXACT($A$2:$A$201,A77))&gt;1,"Listed twice",IF(D77="","Topic could not be built: check the asset and the measurement",IF(COUNTIF($D$2:$D$201,D77)&gt;1,"Topic used twice","ok")))))</f>
        <v/>
      </c>
    </row>
    <row r="78" customFormat="false" ht="15" hidden="false" customHeight="false" outlineLevel="0" collapsed="false">
      <c r="A78" s="9"/>
      <c r="B78" s="9"/>
      <c r="C78" s="9"/>
      <c r="D78" s="10" t="str">
        <f aca="false">IF(A78="","",IFERROR(IF(INDEX('2 Measurements'!$B$2:$B$201,MATCH(A78,'2 Measurements'!$A$2:$A$201,0))="Measurement",'Read me'!$B$9&amp;"/"&amp;INDEX('2 Assets'!$F$2:$F$201,MATCH(INDEX('2 Measurements'!$C$2:$C$201,MATCH(A78,'2 Measurements'!$A$2:$A$201,0)),'2 Assets'!$A$2:$A$201,0))&amp;"/"&amp;INDEX('2 Measurements'!$F$2:$F$201,MATCH(A78,'2 Measurements'!$A$2:$A$201,0)),'Read me'!$B$10&amp;"/"&amp;IFERROR(IF(INDEX('2 Assets'!$E$2:$E$201,MATCH(INDEX('2 Assets'!$M$2:$M$201,MATCH(INDEX('2 Measurements'!$C$2:$C$201,MATCH(A78,'2 Measurements'!$A$2:$A$201,0)),'2 Assets'!$A$2:$A$201,0)),'2 Assets'!$A$2:$A$201,0))="",INDEX('2 Assets'!$M$2:$M$201,MATCH(INDEX('2 Measurements'!$C$2:$C$201,MATCH(A78,'2 Measurements'!$A$2:$A$201,0)),'2 Assets'!$A$2:$A$201,0)),INDEX('2 Assets'!$E$2:$E$201,MATCH(INDEX('2 Assets'!$M$2:$M$201,MATCH(INDEX('2 Measurements'!$C$2:$C$201,MATCH(A78,'2 Measurements'!$A$2:$A$201,0)),'2 Assets'!$A$2:$A$201,0)),'2 Assets'!$A$2:$A$201,0))),INDEX('2 Assets'!$M$2:$M$201,MATCH(INDEX('2 Measurements'!$C$2:$C$201,MATCH(A78,'2 Measurements'!$A$2:$A$201,0)),'2 Assets'!$A$2:$A$201,0)))&amp;"/"&amp;INDEX('2 Measurements'!$C$2:$C$201,MATCH(A78,'2 Measurements'!$A$2:$A$201,0))&amp;"/"&amp;INDEX('2 Measurements'!$F$2:$F$201,MATCH(A78,'2 Measurements'!$A$2:$A$201,0))),""))</f>
        <v/>
      </c>
      <c r="E78" s="10" t="str">
        <f aca="false">IF(A78="","",IF(SUMPRODUCT(--EXACT('2 Measurements'!$A$2:$A$201,A78))=0,"Not on the Measurements sheet",IF(SUMPRODUCT(--EXACT($A$2:$A$201,A78))&gt;1,"Listed twice",IF(D78="","Topic could not be built: check the asset and the measurement",IF(COUNTIF($D$2:$D$201,D78)&gt;1,"Topic used twice","ok")))))</f>
        <v/>
      </c>
    </row>
    <row r="79" customFormat="false" ht="15" hidden="false" customHeight="false" outlineLevel="0" collapsed="false">
      <c r="A79" s="9"/>
      <c r="B79" s="9"/>
      <c r="C79" s="9"/>
      <c r="D79" s="10" t="str">
        <f aca="false">IF(A79="","",IFERROR(IF(INDEX('2 Measurements'!$B$2:$B$201,MATCH(A79,'2 Measurements'!$A$2:$A$201,0))="Measurement",'Read me'!$B$9&amp;"/"&amp;INDEX('2 Assets'!$F$2:$F$201,MATCH(INDEX('2 Measurements'!$C$2:$C$201,MATCH(A79,'2 Measurements'!$A$2:$A$201,0)),'2 Assets'!$A$2:$A$201,0))&amp;"/"&amp;INDEX('2 Measurements'!$F$2:$F$201,MATCH(A79,'2 Measurements'!$A$2:$A$201,0)),'Read me'!$B$10&amp;"/"&amp;IFERROR(IF(INDEX('2 Assets'!$E$2:$E$201,MATCH(INDEX('2 Assets'!$M$2:$M$201,MATCH(INDEX('2 Measurements'!$C$2:$C$201,MATCH(A79,'2 Measurements'!$A$2:$A$201,0)),'2 Assets'!$A$2:$A$201,0)),'2 Assets'!$A$2:$A$201,0))="",INDEX('2 Assets'!$M$2:$M$201,MATCH(INDEX('2 Measurements'!$C$2:$C$201,MATCH(A79,'2 Measurements'!$A$2:$A$201,0)),'2 Assets'!$A$2:$A$201,0)),INDEX('2 Assets'!$E$2:$E$201,MATCH(INDEX('2 Assets'!$M$2:$M$201,MATCH(INDEX('2 Measurements'!$C$2:$C$201,MATCH(A79,'2 Measurements'!$A$2:$A$201,0)),'2 Assets'!$A$2:$A$201,0)),'2 Assets'!$A$2:$A$201,0))),INDEX('2 Assets'!$M$2:$M$201,MATCH(INDEX('2 Measurements'!$C$2:$C$201,MATCH(A79,'2 Measurements'!$A$2:$A$201,0)),'2 Assets'!$A$2:$A$201,0)))&amp;"/"&amp;INDEX('2 Measurements'!$C$2:$C$201,MATCH(A79,'2 Measurements'!$A$2:$A$201,0))&amp;"/"&amp;INDEX('2 Measurements'!$F$2:$F$201,MATCH(A79,'2 Measurements'!$A$2:$A$201,0))),""))</f>
        <v/>
      </c>
      <c r="E79" s="10" t="str">
        <f aca="false">IF(A79="","",IF(SUMPRODUCT(--EXACT('2 Measurements'!$A$2:$A$201,A79))=0,"Not on the Measurements sheet",IF(SUMPRODUCT(--EXACT($A$2:$A$201,A79))&gt;1,"Listed twice",IF(D79="","Topic could not be built: check the asset and the measurement",IF(COUNTIF($D$2:$D$201,D79)&gt;1,"Topic used twice","ok")))))</f>
        <v/>
      </c>
    </row>
    <row r="80" customFormat="false" ht="15" hidden="false" customHeight="false" outlineLevel="0" collapsed="false">
      <c r="A80" s="9"/>
      <c r="B80" s="9"/>
      <c r="C80" s="9"/>
      <c r="D80" s="10" t="str">
        <f aca="false">IF(A80="","",IFERROR(IF(INDEX('2 Measurements'!$B$2:$B$201,MATCH(A80,'2 Measurements'!$A$2:$A$201,0))="Measurement",'Read me'!$B$9&amp;"/"&amp;INDEX('2 Assets'!$F$2:$F$201,MATCH(INDEX('2 Measurements'!$C$2:$C$201,MATCH(A80,'2 Measurements'!$A$2:$A$201,0)),'2 Assets'!$A$2:$A$201,0))&amp;"/"&amp;INDEX('2 Measurements'!$F$2:$F$201,MATCH(A80,'2 Measurements'!$A$2:$A$201,0)),'Read me'!$B$10&amp;"/"&amp;IFERROR(IF(INDEX('2 Assets'!$E$2:$E$201,MATCH(INDEX('2 Assets'!$M$2:$M$201,MATCH(INDEX('2 Measurements'!$C$2:$C$201,MATCH(A80,'2 Measurements'!$A$2:$A$201,0)),'2 Assets'!$A$2:$A$201,0)),'2 Assets'!$A$2:$A$201,0))="",INDEX('2 Assets'!$M$2:$M$201,MATCH(INDEX('2 Measurements'!$C$2:$C$201,MATCH(A80,'2 Measurements'!$A$2:$A$201,0)),'2 Assets'!$A$2:$A$201,0)),INDEX('2 Assets'!$E$2:$E$201,MATCH(INDEX('2 Assets'!$M$2:$M$201,MATCH(INDEX('2 Measurements'!$C$2:$C$201,MATCH(A80,'2 Measurements'!$A$2:$A$201,0)),'2 Assets'!$A$2:$A$201,0)),'2 Assets'!$A$2:$A$201,0))),INDEX('2 Assets'!$M$2:$M$201,MATCH(INDEX('2 Measurements'!$C$2:$C$201,MATCH(A80,'2 Measurements'!$A$2:$A$201,0)),'2 Assets'!$A$2:$A$201,0)))&amp;"/"&amp;INDEX('2 Measurements'!$C$2:$C$201,MATCH(A80,'2 Measurements'!$A$2:$A$201,0))&amp;"/"&amp;INDEX('2 Measurements'!$F$2:$F$201,MATCH(A80,'2 Measurements'!$A$2:$A$201,0))),""))</f>
        <v/>
      </c>
      <c r="E80" s="10" t="str">
        <f aca="false">IF(A80="","",IF(SUMPRODUCT(--EXACT('2 Measurements'!$A$2:$A$201,A80))=0,"Not on the Measurements sheet",IF(SUMPRODUCT(--EXACT($A$2:$A$201,A80))&gt;1,"Listed twice",IF(D80="","Topic could not be built: check the asset and the measurement",IF(COUNTIF($D$2:$D$201,D80)&gt;1,"Topic used twice","ok")))))</f>
        <v/>
      </c>
    </row>
    <row r="81" customFormat="false" ht="15" hidden="false" customHeight="false" outlineLevel="0" collapsed="false">
      <c r="A81" s="9"/>
      <c r="B81" s="9"/>
      <c r="C81" s="9"/>
      <c r="D81" s="10" t="str">
        <f aca="false">IF(A81="","",IFERROR(IF(INDEX('2 Measurements'!$B$2:$B$201,MATCH(A81,'2 Measurements'!$A$2:$A$201,0))="Measurement",'Read me'!$B$9&amp;"/"&amp;INDEX('2 Assets'!$F$2:$F$201,MATCH(INDEX('2 Measurements'!$C$2:$C$201,MATCH(A81,'2 Measurements'!$A$2:$A$201,0)),'2 Assets'!$A$2:$A$201,0))&amp;"/"&amp;INDEX('2 Measurements'!$F$2:$F$201,MATCH(A81,'2 Measurements'!$A$2:$A$201,0)),'Read me'!$B$10&amp;"/"&amp;IFERROR(IF(INDEX('2 Assets'!$E$2:$E$201,MATCH(INDEX('2 Assets'!$M$2:$M$201,MATCH(INDEX('2 Measurements'!$C$2:$C$201,MATCH(A81,'2 Measurements'!$A$2:$A$201,0)),'2 Assets'!$A$2:$A$201,0)),'2 Assets'!$A$2:$A$201,0))="",INDEX('2 Assets'!$M$2:$M$201,MATCH(INDEX('2 Measurements'!$C$2:$C$201,MATCH(A81,'2 Measurements'!$A$2:$A$201,0)),'2 Assets'!$A$2:$A$201,0)),INDEX('2 Assets'!$E$2:$E$201,MATCH(INDEX('2 Assets'!$M$2:$M$201,MATCH(INDEX('2 Measurements'!$C$2:$C$201,MATCH(A81,'2 Measurements'!$A$2:$A$201,0)),'2 Assets'!$A$2:$A$201,0)),'2 Assets'!$A$2:$A$201,0))),INDEX('2 Assets'!$M$2:$M$201,MATCH(INDEX('2 Measurements'!$C$2:$C$201,MATCH(A81,'2 Measurements'!$A$2:$A$201,0)),'2 Assets'!$A$2:$A$201,0)))&amp;"/"&amp;INDEX('2 Measurements'!$C$2:$C$201,MATCH(A81,'2 Measurements'!$A$2:$A$201,0))&amp;"/"&amp;INDEX('2 Measurements'!$F$2:$F$201,MATCH(A81,'2 Measurements'!$A$2:$A$201,0))),""))</f>
        <v/>
      </c>
      <c r="E81" s="10" t="str">
        <f aca="false">IF(A81="","",IF(SUMPRODUCT(--EXACT('2 Measurements'!$A$2:$A$201,A81))=0,"Not on the Measurements sheet",IF(SUMPRODUCT(--EXACT($A$2:$A$201,A81))&gt;1,"Listed twice",IF(D81="","Topic could not be built: check the asset and the measurement",IF(COUNTIF($D$2:$D$201,D81)&gt;1,"Topic used twice","ok")))))</f>
        <v/>
      </c>
    </row>
    <row r="82" customFormat="false" ht="15" hidden="false" customHeight="false" outlineLevel="0" collapsed="false">
      <c r="A82" s="9"/>
      <c r="B82" s="9"/>
      <c r="C82" s="9"/>
      <c r="D82" s="10" t="str">
        <f aca="false">IF(A82="","",IFERROR(IF(INDEX('2 Measurements'!$B$2:$B$201,MATCH(A82,'2 Measurements'!$A$2:$A$201,0))="Measurement",'Read me'!$B$9&amp;"/"&amp;INDEX('2 Assets'!$F$2:$F$201,MATCH(INDEX('2 Measurements'!$C$2:$C$201,MATCH(A82,'2 Measurements'!$A$2:$A$201,0)),'2 Assets'!$A$2:$A$201,0))&amp;"/"&amp;INDEX('2 Measurements'!$F$2:$F$201,MATCH(A82,'2 Measurements'!$A$2:$A$201,0)),'Read me'!$B$10&amp;"/"&amp;IFERROR(IF(INDEX('2 Assets'!$E$2:$E$201,MATCH(INDEX('2 Assets'!$M$2:$M$201,MATCH(INDEX('2 Measurements'!$C$2:$C$201,MATCH(A82,'2 Measurements'!$A$2:$A$201,0)),'2 Assets'!$A$2:$A$201,0)),'2 Assets'!$A$2:$A$201,0))="",INDEX('2 Assets'!$M$2:$M$201,MATCH(INDEX('2 Measurements'!$C$2:$C$201,MATCH(A82,'2 Measurements'!$A$2:$A$201,0)),'2 Assets'!$A$2:$A$201,0)),INDEX('2 Assets'!$E$2:$E$201,MATCH(INDEX('2 Assets'!$M$2:$M$201,MATCH(INDEX('2 Measurements'!$C$2:$C$201,MATCH(A82,'2 Measurements'!$A$2:$A$201,0)),'2 Assets'!$A$2:$A$201,0)),'2 Assets'!$A$2:$A$201,0))),INDEX('2 Assets'!$M$2:$M$201,MATCH(INDEX('2 Measurements'!$C$2:$C$201,MATCH(A82,'2 Measurements'!$A$2:$A$201,0)),'2 Assets'!$A$2:$A$201,0)))&amp;"/"&amp;INDEX('2 Measurements'!$C$2:$C$201,MATCH(A82,'2 Measurements'!$A$2:$A$201,0))&amp;"/"&amp;INDEX('2 Measurements'!$F$2:$F$201,MATCH(A82,'2 Measurements'!$A$2:$A$201,0))),""))</f>
        <v/>
      </c>
      <c r="E82" s="10" t="str">
        <f aca="false">IF(A82="","",IF(SUMPRODUCT(--EXACT('2 Measurements'!$A$2:$A$201,A82))=0,"Not on the Measurements sheet",IF(SUMPRODUCT(--EXACT($A$2:$A$201,A82))&gt;1,"Listed twice",IF(D82="","Topic could not be built: check the asset and the measurement",IF(COUNTIF($D$2:$D$201,D82)&gt;1,"Topic used twice","ok")))))</f>
        <v/>
      </c>
    </row>
    <row r="83" customFormat="false" ht="15" hidden="false" customHeight="false" outlineLevel="0" collapsed="false">
      <c r="A83" s="9"/>
      <c r="B83" s="9"/>
      <c r="C83" s="9"/>
      <c r="D83" s="10" t="str">
        <f aca="false">IF(A83="","",IFERROR(IF(INDEX('2 Measurements'!$B$2:$B$201,MATCH(A83,'2 Measurements'!$A$2:$A$201,0))="Measurement",'Read me'!$B$9&amp;"/"&amp;INDEX('2 Assets'!$F$2:$F$201,MATCH(INDEX('2 Measurements'!$C$2:$C$201,MATCH(A83,'2 Measurements'!$A$2:$A$201,0)),'2 Assets'!$A$2:$A$201,0))&amp;"/"&amp;INDEX('2 Measurements'!$F$2:$F$201,MATCH(A83,'2 Measurements'!$A$2:$A$201,0)),'Read me'!$B$10&amp;"/"&amp;IFERROR(IF(INDEX('2 Assets'!$E$2:$E$201,MATCH(INDEX('2 Assets'!$M$2:$M$201,MATCH(INDEX('2 Measurements'!$C$2:$C$201,MATCH(A83,'2 Measurements'!$A$2:$A$201,0)),'2 Assets'!$A$2:$A$201,0)),'2 Assets'!$A$2:$A$201,0))="",INDEX('2 Assets'!$M$2:$M$201,MATCH(INDEX('2 Measurements'!$C$2:$C$201,MATCH(A83,'2 Measurements'!$A$2:$A$201,0)),'2 Assets'!$A$2:$A$201,0)),INDEX('2 Assets'!$E$2:$E$201,MATCH(INDEX('2 Assets'!$M$2:$M$201,MATCH(INDEX('2 Measurements'!$C$2:$C$201,MATCH(A83,'2 Measurements'!$A$2:$A$201,0)),'2 Assets'!$A$2:$A$201,0)),'2 Assets'!$A$2:$A$201,0))),INDEX('2 Assets'!$M$2:$M$201,MATCH(INDEX('2 Measurements'!$C$2:$C$201,MATCH(A83,'2 Measurements'!$A$2:$A$201,0)),'2 Assets'!$A$2:$A$201,0)))&amp;"/"&amp;INDEX('2 Measurements'!$C$2:$C$201,MATCH(A83,'2 Measurements'!$A$2:$A$201,0))&amp;"/"&amp;INDEX('2 Measurements'!$F$2:$F$201,MATCH(A83,'2 Measurements'!$A$2:$A$201,0))),""))</f>
        <v/>
      </c>
      <c r="E83" s="10" t="str">
        <f aca="false">IF(A83="","",IF(SUMPRODUCT(--EXACT('2 Measurements'!$A$2:$A$201,A83))=0,"Not on the Measurements sheet",IF(SUMPRODUCT(--EXACT($A$2:$A$201,A83))&gt;1,"Listed twice",IF(D83="","Topic could not be built: check the asset and the measurement",IF(COUNTIF($D$2:$D$201,D83)&gt;1,"Topic used twice","ok")))))</f>
        <v/>
      </c>
    </row>
    <row r="84" customFormat="false" ht="15" hidden="false" customHeight="false" outlineLevel="0" collapsed="false">
      <c r="A84" s="9"/>
      <c r="B84" s="9"/>
      <c r="C84" s="9"/>
      <c r="D84" s="10" t="str">
        <f aca="false">IF(A84="","",IFERROR(IF(INDEX('2 Measurements'!$B$2:$B$201,MATCH(A84,'2 Measurements'!$A$2:$A$201,0))="Measurement",'Read me'!$B$9&amp;"/"&amp;INDEX('2 Assets'!$F$2:$F$201,MATCH(INDEX('2 Measurements'!$C$2:$C$201,MATCH(A84,'2 Measurements'!$A$2:$A$201,0)),'2 Assets'!$A$2:$A$201,0))&amp;"/"&amp;INDEX('2 Measurements'!$F$2:$F$201,MATCH(A84,'2 Measurements'!$A$2:$A$201,0)),'Read me'!$B$10&amp;"/"&amp;IFERROR(IF(INDEX('2 Assets'!$E$2:$E$201,MATCH(INDEX('2 Assets'!$M$2:$M$201,MATCH(INDEX('2 Measurements'!$C$2:$C$201,MATCH(A84,'2 Measurements'!$A$2:$A$201,0)),'2 Assets'!$A$2:$A$201,0)),'2 Assets'!$A$2:$A$201,0))="",INDEX('2 Assets'!$M$2:$M$201,MATCH(INDEX('2 Measurements'!$C$2:$C$201,MATCH(A84,'2 Measurements'!$A$2:$A$201,0)),'2 Assets'!$A$2:$A$201,0)),INDEX('2 Assets'!$E$2:$E$201,MATCH(INDEX('2 Assets'!$M$2:$M$201,MATCH(INDEX('2 Measurements'!$C$2:$C$201,MATCH(A84,'2 Measurements'!$A$2:$A$201,0)),'2 Assets'!$A$2:$A$201,0)),'2 Assets'!$A$2:$A$201,0))),INDEX('2 Assets'!$M$2:$M$201,MATCH(INDEX('2 Measurements'!$C$2:$C$201,MATCH(A84,'2 Measurements'!$A$2:$A$201,0)),'2 Assets'!$A$2:$A$201,0)))&amp;"/"&amp;INDEX('2 Measurements'!$C$2:$C$201,MATCH(A84,'2 Measurements'!$A$2:$A$201,0))&amp;"/"&amp;INDEX('2 Measurements'!$F$2:$F$201,MATCH(A84,'2 Measurements'!$A$2:$A$201,0))),""))</f>
        <v/>
      </c>
      <c r="E84" s="10" t="str">
        <f aca="false">IF(A84="","",IF(SUMPRODUCT(--EXACT('2 Measurements'!$A$2:$A$201,A84))=0,"Not on the Measurements sheet",IF(SUMPRODUCT(--EXACT($A$2:$A$201,A84))&gt;1,"Listed twice",IF(D84="","Topic could not be built: check the asset and the measurement",IF(COUNTIF($D$2:$D$201,D84)&gt;1,"Topic used twice","ok")))))</f>
        <v/>
      </c>
    </row>
    <row r="85" customFormat="false" ht="15" hidden="false" customHeight="false" outlineLevel="0" collapsed="false">
      <c r="A85" s="9"/>
      <c r="B85" s="9"/>
      <c r="C85" s="9"/>
      <c r="D85" s="10" t="str">
        <f aca="false">IF(A85="","",IFERROR(IF(INDEX('2 Measurements'!$B$2:$B$201,MATCH(A85,'2 Measurements'!$A$2:$A$201,0))="Measurement",'Read me'!$B$9&amp;"/"&amp;INDEX('2 Assets'!$F$2:$F$201,MATCH(INDEX('2 Measurements'!$C$2:$C$201,MATCH(A85,'2 Measurements'!$A$2:$A$201,0)),'2 Assets'!$A$2:$A$201,0))&amp;"/"&amp;INDEX('2 Measurements'!$F$2:$F$201,MATCH(A85,'2 Measurements'!$A$2:$A$201,0)),'Read me'!$B$10&amp;"/"&amp;IFERROR(IF(INDEX('2 Assets'!$E$2:$E$201,MATCH(INDEX('2 Assets'!$M$2:$M$201,MATCH(INDEX('2 Measurements'!$C$2:$C$201,MATCH(A85,'2 Measurements'!$A$2:$A$201,0)),'2 Assets'!$A$2:$A$201,0)),'2 Assets'!$A$2:$A$201,0))="",INDEX('2 Assets'!$M$2:$M$201,MATCH(INDEX('2 Measurements'!$C$2:$C$201,MATCH(A85,'2 Measurements'!$A$2:$A$201,0)),'2 Assets'!$A$2:$A$201,0)),INDEX('2 Assets'!$E$2:$E$201,MATCH(INDEX('2 Assets'!$M$2:$M$201,MATCH(INDEX('2 Measurements'!$C$2:$C$201,MATCH(A85,'2 Measurements'!$A$2:$A$201,0)),'2 Assets'!$A$2:$A$201,0)),'2 Assets'!$A$2:$A$201,0))),INDEX('2 Assets'!$M$2:$M$201,MATCH(INDEX('2 Measurements'!$C$2:$C$201,MATCH(A85,'2 Measurements'!$A$2:$A$201,0)),'2 Assets'!$A$2:$A$201,0)))&amp;"/"&amp;INDEX('2 Measurements'!$C$2:$C$201,MATCH(A85,'2 Measurements'!$A$2:$A$201,0))&amp;"/"&amp;INDEX('2 Measurements'!$F$2:$F$201,MATCH(A85,'2 Measurements'!$A$2:$A$201,0))),""))</f>
        <v/>
      </c>
      <c r="E85" s="10" t="str">
        <f aca="false">IF(A85="","",IF(SUMPRODUCT(--EXACT('2 Measurements'!$A$2:$A$201,A85))=0,"Not on the Measurements sheet",IF(SUMPRODUCT(--EXACT($A$2:$A$201,A85))&gt;1,"Listed twice",IF(D85="","Topic could not be built: check the asset and the measurement",IF(COUNTIF($D$2:$D$201,D85)&gt;1,"Topic used twice","ok")))))</f>
        <v/>
      </c>
    </row>
    <row r="86" customFormat="false" ht="15" hidden="false" customHeight="false" outlineLevel="0" collapsed="false">
      <c r="A86" s="9"/>
      <c r="B86" s="9"/>
      <c r="C86" s="9"/>
      <c r="D86" s="10" t="str">
        <f aca="false">IF(A86="","",IFERROR(IF(INDEX('2 Measurements'!$B$2:$B$201,MATCH(A86,'2 Measurements'!$A$2:$A$201,0))="Measurement",'Read me'!$B$9&amp;"/"&amp;INDEX('2 Assets'!$F$2:$F$201,MATCH(INDEX('2 Measurements'!$C$2:$C$201,MATCH(A86,'2 Measurements'!$A$2:$A$201,0)),'2 Assets'!$A$2:$A$201,0))&amp;"/"&amp;INDEX('2 Measurements'!$F$2:$F$201,MATCH(A86,'2 Measurements'!$A$2:$A$201,0)),'Read me'!$B$10&amp;"/"&amp;IFERROR(IF(INDEX('2 Assets'!$E$2:$E$201,MATCH(INDEX('2 Assets'!$M$2:$M$201,MATCH(INDEX('2 Measurements'!$C$2:$C$201,MATCH(A86,'2 Measurements'!$A$2:$A$201,0)),'2 Assets'!$A$2:$A$201,0)),'2 Assets'!$A$2:$A$201,0))="",INDEX('2 Assets'!$M$2:$M$201,MATCH(INDEX('2 Measurements'!$C$2:$C$201,MATCH(A86,'2 Measurements'!$A$2:$A$201,0)),'2 Assets'!$A$2:$A$201,0)),INDEX('2 Assets'!$E$2:$E$201,MATCH(INDEX('2 Assets'!$M$2:$M$201,MATCH(INDEX('2 Measurements'!$C$2:$C$201,MATCH(A86,'2 Measurements'!$A$2:$A$201,0)),'2 Assets'!$A$2:$A$201,0)),'2 Assets'!$A$2:$A$201,0))),INDEX('2 Assets'!$M$2:$M$201,MATCH(INDEX('2 Measurements'!$C$2:$C$201,MATCH(A86,'2 Measurements'!$A$2:$A$201,0)),'2 Assets'!$A$2:$A$201,0)))&amp;"/"&amp;INDEX('2 Measurements'!$C$2:$C$201,MATCH(A86,'2 Measurements'!$A$2:$A$201,0))&amp;"/"&amp;INDEX('2 Measurements'!$F$2:$F$201,MATCH(A86,'2 Measurements'!$A$2:$A$201,0))),""))</f>
        <v/>
      </c>
      <c r="E86" s="10" t="str">
        <f aca="false">IF(A86="","",IF(SUMPRODUCT(--EXACT('2 Measurements'!$A$2:$A$201,A86))=0,"Not on the Measurements sheet",IF(SUMPRODUCT(--EXACT($A$2:$A$201,A86))&gt;1,"Listed twice",IF(D86="","Topic could not be built: check the asset and the measurement",IF(COUNTIF($D$2:$D$201,D86)&gt;1,"Topic used twice","ok")))))</f>
        <v/>
      </c>
    </row>
    <row r="87" customFormat="false" ht="15" hidden="false" customHeight="false" outlineLevel="0" collapsed="false">
      <c r="A87" s="9"/>
      <c r="B87" s="9"/>
      <c r="C87" s="9"/>
      <c r="D87" s="10" t="str">
        <f aca="false">IF(A87="","",IFERROR(IF(INDEX('2 Measurements'!$B$2:$B$201,MATCH(A87,'2 Measurements'!$A$2:$A$201,0))="Measurement",'Read me'!$B$9&amp;"/"&amp;INDEX('2 Assets'!$F$2:$F$201,MATCH(INDEX('2 Measurements'!$C$2:$C$201,MATCH(A87,'2 Measurements'!$A$2:$A$201,0)),'2 Assets'!$A$2:$A$201,0))&amp;"/"&amp;INDEX('2 Measurements'!$F$2:$F$201,MATCH(A87,'2 Measurements'!$A$2:$A$201,0)),'Read me'!$B$10&amp;"/"&amp;IFERROR(IF(INDEX('2 Assets'!$E$2:$E$201,MATCH(INDEX('2 Assets'!$M$2:$M$201,MATCH(INDEX('2 Measurements'!$C$2:$C$201,MATCH(A87,'2 Measurements'!$A$2:$A$201,0)),'2 Assets'!$A$2:$A$201,0)),'2 Assets'!$A$2:$A$201,0))="",INDEX('2 Assets'!$M$2:$M$201,MATCH(INDEX('2 Measurements'!$C$2:$C$201,MATCH(A87,'2 Measurements'!$A$2:$A$201,0)),'2 Assets'!$A$2:$A$201,0)),INDEX('2 Assets'!$E$2:$E$201,MATCH(INDEX('2 Assets'!$M$2:$M$201,MATCH(INDEX('2 Measurements'!$C$2:$C$201,MATCH(A87,'2 Measurements'!$A$2:$A$201,0)),'2 Assets'!$A$2:$A$201,0)),'2 Assets'!$A$2:$A$201,0))),INDEX('2 Assets'!$M$2:$M$201,MATCH(INDEX('2 Measurements'!$C$2:$C$201,MATCH(A87,'2 Measurements'!$A$2:$A$201,0)),'2 Assets'!$A$2:$A$201,0)))&amp;"/"&amp;INDEX('2 Measurements'!$C$2:$C$201,MATCH(A87,'2 Measurements'!$A$2:$A$201,0))&amp;"/"&amp;INDEX('2 Measurements'!$F$2:$F$201,MATCH(A87,'2 Measurements'!$A$2:$A$201,0))),""))</f>
        <v/>
      </c>
      <c r="E87" s="10" t="str">
        <f aca="false">IF(A87="","",IF(SUMPRODUCT(--EXACT('2 Measurements'!$A$2:$A$201,A87))=0,"Not on the Measurements sheet",IF(SUMPRODUCT(--EXACT($A$2:$A$201,A87))&gt;1,"Listed twice",IF(D87="","Topic could not be built: check the asset and the measurement",IF(COUNTIF($D$2:$D$201,D87)&gt;1,"Topic used twice","ok")))))</f>
        <v/>
      </c>
    </row>
    <row r="88" customFormat="false" ht="15" hidden="false" customHeight="false" outlineLevel="0" collapsed="false">
      <c r="A88" s="9"/>
      <c r="B88" s="9"/>
      <c r="C88" s="9"/>
      <c r="D88" s="10" t="str">
        <f aca="false">IF(A88="","",IFERROR(IF(INDEX('2 Measurements'!$B$2:$B$201,MATCH(A88,'2 Measurements'!$A$2:$A$201,0))="Measurement",'Read me'!$B$9&amp;"/"&amp;INDEX('2 Assets'!$F$2:$F$201,MATCH(INDEX('2 Measurements'!$C$2:$C$201,MATCH(A88,'2 Measurements'!$A$2:$A$201,0)),'2 Assets'!$A$2:$A$201,0))&amp;"/"&amp;INDEX('2 Measurements'!$F$2:$F$201,MATCH(A88,'2 Measurements'!$A$2:$A$201,0)),'Read me'!$B$10&amp;"/"&amp;IFERROR(IF(INDEX('2 Assets'!$E$2:$E$201,MATCH(INDEX('2 Assets'!$M$2:$M$201,MATCH(INDEX('2 Measurements'!$C$2:$C$201,MATCH(A88,'2 Measurements'!$A$2:$A$201,0)),'2 Assets'!$A$2:$A$201,0)),'2 Assets'!$A$2:$A$201,0))="",INDEX('2 Assets'!$M$2:$M$201,MATCH(INDEX('2 Measurements'!$C$2:$C$201,MATCH(A88,'2 Measurements'!$A$2:$A$201,0)),'2 Assets'!$A$2:$A$201,0)),INDEX('2 Assets'!$E$2:$E$201,MATCH(INDEX('2 Assets'!$M$2:$M$201,MATCH(INDEX('2 Measurements'!$C$2:$C$201,MATCH(A88,'2 Measurements'!$A$2:$A$201,0)),'2 Assets'!$A$2:$A$201,0)),'2 Assets'!$A$2:$A$201,0))),INDEX('2 Assets'!$M$2:$M$201,MATCH(INDEX('2 Measurements'!$C$2:$C$201,MATCH(A88,'2 Measurements'!$A$2:$A$201,0)),'2 Assets'!$A$2:$A$201,0)))&amp;"/"&amp;INDEX('2 Measurements'!$C$2:$C$201,MATCH(A88,'2 Measurements'!$A$2:$A$201,0))&amp;"/"&amp;INDEX('2 Measurements'!$F$2:$F$201,MATCH(A88,'2 Measurements'!$A$2:$A$201,0))),""))</f>
        <v/>
      </c>
      <c r="E88" s="10" t="str">
        <f aca="false">IF(A88="","",IF(SUMPRODUCT(--EXACT('2 Measurements'!$A$2:$A$201,A88))=0,"Not on the Measurements sheet",IF(SUMPRODUCT(--EXACT($A$2:$A$201,A88))&gt;1,"Listed twice",IF(D88="","Topic could not be built: check the asset and the measurement",IF(COUNTIF($D$2:$D$201,D88)&gt;1,"Topic used twice","ok")))))</f>
        <v/>
      </c>
    </row>
    <row r="89" customFormat="false" ht="15" hidden="false" customHeight="false" outlineLevel="0" collapsed="false">
      <c r="A89" s="9"/>
      <c r="B89" s="9"/>
      <c r="C89" s="9"/>
      <c r="D89" s="10" t="str">
        <f aca="false">IF(A89="","",IFERROR(IF(INDEX('2 Measurements'!$B$2:$B$201,MATCH(A89,'2 Measurements'!$A$2:$A$201,0))="Measurement",'Read me'!$B$9&amp;"/"&amp;INDEX('2 Assets'!$F$2:$F$201,MATCH(INDEX('2 Measurements'!$C$2:$C$201,MATCH(A89,'2 Measurements'!$A$2:$A$201,0)),'2 Assets'!$A$2:$A$201,0))&amp;"/"&amp;INDEX('2 Measurements'!$F$2:$F$201,MATCH(A89,'2 Measurements'!$A$2:$A$201,0)),'Read me'!$B$10&amp;"/"&amp;IFERROR(IF(INDEX('2 Assets'!$E$2:$E$201,MATCH(INDEX('2 Assets'!$M$2:$M$201,MATCH(INDEX('2 Measurements'!$C$2:$C$201,MATCH(A89,'2 Measurements'!$A$2:$A$201,0)),'2 Assets'!$A$2:$A$201,0)),'2 Assets'!$A$2:$A$201,0))="",INDEX('2 Assets'!$M$2:$M$201,MATCH(INDEX('2 Measurements'!$C$2:$C$201,MATCH(A89,'2 Measurements'!$A$2:$A$201,0)),'2 Assets'!$A$2:$A$201,0)),INDEX('2 Assets'!$E$2:$E$201,MATCH(INDEX('2 Assets'!$M$2:$M$201,MATCH(INDEX('2 Measurements'!$C$2:$C$201,MATCH(A89,'2 Measurements'!$A$2:$A$201,0)),'2 Assets'!$A$2:$A$201,0)),'2 Assets'!$A$2:$A$201,0))),INDEX('2 Assets'!$M$2:$M$201,MATCH(INDEX('2 Measurements'!$C$2:$C$201,MATCH(A89,'2 Measurements'!$A$2:$A$201,0)),'2 Assets'!$A$2:$A$201,0)))&amp;"/"&amp;INDEX('2 Measurements'!$C$2:$C$201,MATCH(A89,'2 Measurements'!$A$2:$A$201,0))&amp;"/"&amp;INDEX('2 Measurements'!$F$2:$F$201,MATCH(A89,'2 Measurements'!$A$2:$A$201,0))),""))</f>
        <v/>
      </c>
      <c r="E89" s="10" t="str">
        <f aca="false">IF(A89="","",IF(SUMPRODUCT(--EXACT('2 Measurements'!$A$2:$A$201,A89))=0,"Not on the Measurements sheet",IF(SUMPRODUCT(--EXACT($A$2:$A$201,A89))&gt;1,"Listed twice",IF(D89="","Topic could not be built: check the asset and the measurement",IF(COUNTIF($D$2:$D$201,D89)&gt;1,"Topic used twice","ok")))))</f>
        <v/>
      </c>
    </row>
    <row r="90" customFormat="false" ht="15" hidden="false" customHeight="false" outlineLevel="0" collapsed="false">
      <c r="A90" s="9"/>
      <c r="B90" s="9"/>
      <c r="C90" s="9"/>
      <c r="D90" s="10" t="str">
        <f aca="false">IF(A90="","",IFERROR(IF(INDEX('2 Measurements'!$B$2:$B$201,MATCH(A90,'2 Measurements'!$A$2:$A$201,0))="Measurement",'Read me'!$B$9&amp;"/"&amp;INDEX('2 Assets'!$F$2:$F$201,MATCH(INDEX('2 Measurements'!$C$2:$C$201,MATCH(A90,'2 Measurements'!$A$2:$A$201,0)),'2 Assets'!$A$2:$A$201,0))&amp;"/"&amp;INDEX('2 Measurements'!$F$2:$F$201,MATCH(A90,'2 Measurements'!$A$2:$A$201,0)),'Read me'!$B$10&amp;"/"&amp;IFERROR(IF(INDEX('2 Assets'!$E$2:$E$201,MATCH(INDEX('2 Assets'!$M$2:$M$201,MATCH(INDEX('2 Measurements'!$C$2:$C$201,MATCH(A90,'2 Measurements'!$A$2:$A$201,0)),'2 Assets'!$A$2:$A$201,0)),'2 Assets'!$A$2:$A$201,0))="",INDEX('2 Assets'!$M$2:$M$201,MATCH(INDEX('2 Measurements'!$C$2:$C$201,MATCH(A90,'2 Measurements'!$A$2:$A$201,0)),'2 Assets'!$A$2:$A$201,0)),INDEX('2 Assets'!$E$2:$E$201,MATCH(INDEX('2 Assets'!$M$2:$M$201,MATCH(INDEX('2 Measurements'!$C$2:$C$201,MATCH(A90,'2 Measurements'!$A$2:$A$201,0)),'2 Assets'!$A$2:$A$201,0)),'2 Assets'!$A$2:$A$201,0))),INDEX('2 Assets'!$M$2:$M$201,MATCH(INDEX('2 Measurements'!$C$2:$C$201,MATCH(A90,'2 Measurements'!$A$2:$A$201,0)),'2 Assets'!$A$2:$A$201,0)))&amp;"/"&amp;INDEX('2 Measurements'!$C$2:$C$201,MATCH(A90,'2 Measurements'!$A$2:$A$201,0))&amp;"/"&amp;INDEX('2 Measurements'!$F$2:$F$201,MATCH(A90,'2 Measurements'!$A$2:$A$201,0))),""))</f>
        <v/>
      </c>
      <c r="E90" s="10" t="str">
        <f aca="false">IF(A90="","",IF(SUMPRODUCT(--EXACT('2 Measurements'!$A$2:$A$201,A90))=0,"Not on the Measurements sheet",IF(SUMPRODUCT(--EXACT($A$2:$A$201,A90))&gt;1,"Listed twice",IF(D90="","Topic could not be built: check the asset and the measurement",IF(COUNTIF($D$2:$D$201,D90)&gt;1,"Topic used twice","ok")))))</f>
        <v/>
      </c>
    </row>
    <row r="91" customFormat="false" ht="15" hidden="false" customHeight="false" outlineLevel="0" collapsed="false">
      <c r="A91" s="9"/>
      <c r="B91" s="9"/>
      <c r="C91" s="9"/>
      <c r="D91" s="10" t="str">
        <f aca="false">IF(A91="","",IFERROR(IF(INDEX('2 Measurements'!$B$2:$B$201,MATCH(A91,'2 Measurements'!$A$2:$A$201,0))="Measurement",'Read me'!$B$9&amp;"/"&amp;INDEX('2 Assets'!$F$2:$F$201,MATCH(INDEX('2 Measurements'!$C$2:$C$201,MATCH(A91,'2 Measurements'!$A$2:$A$201,0)),'2 Assets'!$A$2:$A$201,0))&amp;"/"&amp;INDEX('2 Measurements'!$F$2:$F$201,MATCH(A91,'2 Measurements'!$A$2:$A$201,0)),'Read me'!$B$10&amp;"/"&amp;IFERROR(IF(INDEX('2 Assets'!$E$2:$E$201,MATCH(INDEX('2 Assets'!$M$2:$M$201,MATCH(INDEX('2 Measurements'!$C$2:$C$201,MATCH(A91,'2 Measurements'!$A$2:$A$201,0)),'2 Assets'!$A$2:$A$201,0)),'2 Assets'!$A$2:$A$201,0))="",INDEX('2 Assets'!$M$2:$M$201,MATCH(INDEX('2 Measurements'!$C$2:$C$201,MATCH(A91,'2 Measurements'!$A$2:$A$201,0)),'2 Assets'!$A$2:$A$201,0)),INDEX('2 Assets'!$E$2:$E$201,MATCH(INDEX('2 Assets'!$M$2:$M$201,MATCH(INDEX('2 Measurements'!$C$2:$C$201,MATCH(A91,'2 Measurements'!$A$2:$A$201,0)),'2 Assets'!$A$2:$A$201,0)),'2 Assets'!$A$2:$A$201,0))),INDEX('2 Assets'!$M$2:$M$201,MATCH(INDEX('2 Measurements'!$C$2:$C$201,MATCH(A91,'2 Measurements'!$A$2:$A$201,0)),'2 Assets'!$A$2:$A$201,0)))&amp;"/"&amp;INDEX('2 Measurements'!$C$2:$C$201,MATCH(A91,'2 Measurements'!$A$2:$A$201,0))&amp;"/"&amp;INDEX('2 Measurements'!$F$2:$F$201,MATCH(A91,'2 Measurements'!$A$2:$A$201,0))),""))</f>
        <v/>
      </c>
      <c r="E91" s="10" t="str">
        <f aca="false">IF(A91="","",IF(SUMPRODUCT(--EXACT('2 Measurements'!$A$2:$A$201,A91))=0,"Not on the Measurements sheet",IF(SUMPRODUCT(--EXACT($A$2:$A$201,A91))&gt;1,"Listed twice",IF(D91="","Topic could not be built: check the asset and the measurement",IF(COUNTIF($D$2:$D$201,D91)&gt;1,"Topic used twice","ok")))))</f>
        <v/>
      </c>
    </row>
    <row r="92" customFormat="false" ht="15" hidden="false" customHeight="false" outlineLevel="0" collapsed="false">
      <c r="A92" s="9"/>
      <c r="B92" s="9"/>
      <c r="C92" s="9"/>
      <c r="D92" s="10" t="str">
        <f aca="false">IF(A92="","",IFERROR(IF(INDEX('2 Measurements'!$B$2:$B$201,MATCH(A92,'2 Measurements'!$A$2:$A$201,0))="Measurement",'Read me'!$B$9&amp;"/"&amp;INDEX('2 Assets'!$F$2:$F$201,MATCH(INDEX('2 Measurements'!$C$2:$C$201,MATCH(A92,'2 Measurements'!$A$2:$A$201,0)),'2 Assets'!$A$2:$A$201,0))&amp;"/"&amp;INDEX('2 Measurements'!$F$2:$F$201,MATCH(A92,'2 Measurements'!$A$2:$A$201,0)),'Read me'!$B$10&amp;"/"&amp;IFERROR(IF(INDEX('2 Assets'!$E$2:$E$201,MATCH(INDEX('2 Assets'!$M$2:$M$201,MATCH(INDEX('2 Measurements'!$C$2:$C$201,MATCH(A92,'2 Measurements'!$A$2:$A$201,0)),'2 Assets'!$A$2:$A$201,0)),'2 Assets'!$A$2:$A$201,0))="",INDEX('2 Assets'!$M$2:$M$201,MATCH(INDEX('2 Measurements'!$C$2:$C$201,MATCH(A92,'2 Measurements'!$A$2:$A$201,0)),'2 Assets'!$A$2:$A$201,0)),INDEX('2 Assets'!$E$2:$E$201,MATCH(INDEX('2 Assets'!$M$2:$M$201,MATCH(INDEX('2 Measurements'!$C$2:$C$201,MATCH(A92,'2 Measurements'!$A$2:$A$201,0)),'2 Assets'!$A$2:$A$201,0)),'2 Assets'!$A$2:$A$201,0))),INDEX('2 Assets'!$M$2:$M$201,MATCH(INDEX('2 Measurements'!$C$2:$C$201,MATCH(A92,'2 Measurements'!$A$2:$A$201,0)),'2 Assets'!$A$2:$A$201,0)))&amp;"/"&amp;INDEX('2 Measurements'!$C$2:$C$201,MATCH(A92,'2 Measurements'!$A$2:$A$201,0))&amp;"/"&amp;INDEX('2 Measurements'!$F$2:$F$201,MATCH(A92,'2 Measurements'!$A$2:$A$201,0))),""))</f>
        <v/>
      </c>
      <c r="E92" s="10" t="str">
        <f aca="false">IF(A92="","",IF(SUMPRODUCT(--EXACT('2 Measurements'!$A$2:$A$201,A92))=0,"Not on the Measurements sheet",IF(SUMPRODUCT(--EXACT($A$2:$A$201,A92))&gt;1,"Listed twice",IF(D92="","Topic could not be built: check the asset and the measurement",IF(COUNTIF($D$2:$D$201,D92)&gt;1,"Topic used twice","ok")))))</f>
        <v/>
      </c>
    </row>
    <row r="93" customFormat="false" ht="15" hidden="false" customHeight="false" outlineLevel="0" collapsed="false">
      <c r="A93" s="9"/>
      <c r="B93" s="9"/>
      <c r="C93" s="9"/>
      <c r="D93" s="10" t="str">
        <f aca="false">IF(A93="","",IFERROR(IF(INDEX('2 Measurements'!$B$2:$B$201,MATCH(A93,'2 Measurements'!$A$2:$A$201,0))="Measurement",'Read me'!$B$9&amp;"/"&amp;INDEX('2 Assets'!$F$2:$F$201,MATCH(INDEX('2 Measurements'!$C$2:$C$201,MATCH(A93,'2 Measurements'!$A$2:$A$201,0)),'2 Assets'!$A$2:$A$201,0))&amp;"/"&amp;INDEX('2 Measurements'!$F$2:$F$201,MATCH(A93,'2 Measurements'!$A$2:$A$201,0)),'Read me'!$B$10&amp;"/"&amp;IFERROR(IF(INDEX('2 Assets'!$E$2:$E$201,MATCH(INDEX('2 Assets'!$M$2:$M$201,MATCH(INDEX('2 Measurements'!$C$2:$C$201,MATCH(A93,'2 Measurements'!$A$2:$A$201,0)),'2 Assets'!$A$2:$A$201,0)),'2 Assets'!$A$2:$A$201,0))="",INDEX('2 Assets'!$M$2:$M$201,MATCH(INDEX('2 Measurements'!$C$2:$C$201,MATCH(A93,'2 Measurements'!$A$2:$A$201,0)),'2 Assets'!$A$2:$A$201,0)),INDEX('2 Assets'!$E$2:$E$201,MATCH(INDEX('2 Assets'!$M$2:$M$201,MATCH(INDEX('2 Measurements'!$C$2:$C$201,MATCH(A93,'2 Measurements'!$A$2:$A$201,0)),'2 Assets'!$A$2:$A$201,0)),'2 Assets'!$A$2:$A$201,0))),INDEX('2 Assets'!$M$2:$M$201,MATCH(INDEX('2 Measurements'!$C$2:$C$201,MATCH(A93,'2 Measurements'!$A$2:$A$201,0)),'2 Assets'!$A$2:$A$201,0)))&amp;"/"&amp;INDEX('2 Measurements'!$C$2:$C$201,MATCH(A93,'2 Measurements'!$A$2:$A$201,0))&amp;"/"&amp;INDEX('2 Measurements'!$F$2:$F$201,MATCH(A93,'2 Measurements'!$A$2:$A$201,0))),""))</f>
        <v/>
      </c>
      <c r="E93" s="10" t="str">
        <f aca="false">IF(A93="","",IF(SUMPRODUCT(--EXACT('2 Measurements'!$A$2:$A$201,A93))=0,"Not on the Measurements sheet",IF(SUMPRODUCT(--EXACT($A$2:$A$201,A93))&gt;1,"Listed twice",IF(D93="","Topic could not be built: check the asset and the measurement",IF(COUNTIF($D$2:$D$201,D93)&gt;1,"Topic used twice","ok")))))</f>
        <v/>
      </c>
    </row>
    <row r="94" customFormat="false" ht="15" hidden="false" customHeight="false" outlineLevel="0" collapsed="false">
      <c r="A94" s="9"/>
      <c r="B94" s="9"/>
      <c r="C94" s="9"/>
      <c r="D94" s="10" t="str">
        <f aca="false">IF(A94="","",IFERROR(IF(INDEX('2 Measurements'!$B$2:$B$201,MATCH(A94,'2 Measurements'!$A$2:$A$201,0))="Measurement",'Read me'!$B$9&amp;"/"&amp;INDEX('2 Assets'!$F$2:$F$201,MATCH(INDEX('2 Measurements'!$C$2:$C$201,MATCH(A94,'2 Measurements'!$A$2:$A$201,0)),'2 Assets'!$A$2:$A$201,0))&amp;"/"&amp;INDEX('2 Measurements'!$F$2:$F$201,MATCH(A94,'2 Measurements'!$A$2:$A$201,0)),'Read me'!$B$10&amp;"/"&amp;IFERROR(IF(INDEX('2 Assets'!$E$2:$E$201,MATCH(INDEX('2 Assets'!$M$2:$M$201,MATCH(INDEX('2 Measurements'!$C$2:$C$201,MATCH(A94,'2 Measurements'!$A$2:$A$201,0)),'2 Assets'!$A$2:$A$201,0)),'2 Assets'!$A$2:$A$201,0))="",INDEX('2 Assets'!$M$2:$M$201,MATCH(INDEX('2 Measurements'!$C$2:$C$201,MATCH(A94,'2 Measurements'!$A$2:$A$201,0)),'2 Assets'!$A$2:$A$201,0)),INDEX('2 Assets'!$E$2:$E$201,MATCH(INDEX('2 Assets'!$M$2:$M$201,MATCH(INDEX('2 Measurements'!$C$2:$C$201,MATCH(A94,'2 Measurements'!$A$2:$A$201,0)),'2 Assets'!$A$2:$A$201,0)),'2 Assets'!$A$2:$A$201,0))),INDEX('2 Assets'!$M$2:$M$201,MATCH(INDEX('2 Measurements'!$C$2:$C$201,MATCH(A94,'2 Measurements'!$A$2:$A$201,0)),'2 Assets'!$A$2:$A$201,0)))&amp;"/"&amp;INDEX('2 Measurements'!$C$2:$C$201,MATCH(A94,'2 Measurements'!$A$2:$A$201,0))&amp;"/"&amp;INDEX('2 Measurements'!$F$2:$F$201,MATCH(A94,'2 Measurements'!$A$2:$A$201,0))),""))</f>
        <v/>
      </c>
      <c r="E94" s="10" t="str">
        <f aca="false">IF(A94="","",IF(SUMPRODUCT(--EXACT('2 Measurements'!$A$2:$A$201,A94))=0,"Not on the Measurements sheet",IF(SUMPRODUCT(--EXACT($A$2:$A$201,A94))&gt;1,"Listed twice",IF(D94="","Topic could not be built: check the asset and the measurement",IF(COUNTIF($D$2:$D$201,D94)&gt;1,"Topic used twice","ok")))))</f>
        <v/>
      </c>
    </row>
    <row r="95" customFormat="false" ht="15" hidden="false" customHeight="false" outlineLevel="0" collapsed="false">
      <c r="A95" s="9"/>
      <c r="B95" s="9"/>
      <c r="C95" s="9"/>
      <c r="D95" s="10" t="str">
        <f aca="false">IF(A95="","",IFERROR(IF(INDEX('2 Measurements'!$B$2:$B$201,MATCH(A95,'2 Measurements'!$A$2:$A$201,0))="Measurement",'Read me'!$B$9&amp;"/"&amp;INDEX('2 Assets'!$F$2:$F$201,MATCH(INDEX('2 Measurements'!$C$2:$C$201,MATCH(A95,'2 Measurements'!$A$2:$A$201,0)),'2 Assets'!$A$2:$A$201,0))&amp;"/"&amp;INDEX('2 Measurements'!$F$2:$F$201,MATCH(A95,'2 Measurements'!$A$2:$A$201,0)),'Read me'!$B$10&amp;"/"&amp;IFERROR(IF(INDEX('2 Assets'!$E$2:$E$201,MATCH(INDEX('2 Assets'!$M$2:$M$201,MATCH(INDEX('2 Measurements'!$C$2:$C$201,MATCH(A95,'2 Measurements'!$A$2:$A$201,0)),'2 Assets'!$A$2:$A$201,0)),'2 Assets'!$A$2:$A$201,0))="",INDEX('2 Assets'!$M$2:$M$201,MATCH(INDEX('2 Measurements'!$C$2:$C$201,MATCH(A95,'2 Measurements'!$A$2:$A$201,0)),'2 Assets'!$A$2:$A$201,0)),INDEX('2 Assets'!$E$2:$E$201,MATCH(INDEX('2 Assets'!$M$2:$M$201,MATCH(INDEX('2 Measurements'!$C$2:$C$201,MATCH(A95,'2 Measurements'!$A$2:$A$201,0)),'2 Assets'!$A$2:$A$201,0)),'2 Assets'!$A$2:$A$201,0))),INDEX('2 Assets'!$M$2:$M$201,MATCH(INDEX('2 Measurements'!$C$2:$C$201,MATCH(A95,'2 Measurements'!$A$2:$A$201,0)),'2 Assets'!$A$2:$A$201,0)))&amp;"/"&amp;INDEX('2 Measurements'!$C$2:$C$201,MATCH(A95,'2 Measurements'!$A$2:$A$201,0))&amp;"/"&amp;INDEX('2 Measurements'!$F$2:$F$201,MATCH(A95,'2 Measurements'!$A$2:$A$201,0))),""))</f>
        <v/>
      </c>
      <c r="E95" s="10" t="str">
        <f aca="false">IF(A95="","",IF(SUMPRODUCT(--EXACT('2 Measurements'!$A$2:$A$201,A95))=0,"Not on the Measurements sheet",IF(SUMPRODUCT(--EXACT($A$2:$A$201,A95))&gt;1,"Listed twice",IF(D95="","Topic could not be built: check the asset and the measurement",IF(COUNTIF($D$2:$D$201,D95)&gt;1,"Topic used twice","ok")))))</f>
        <v/>
      </c>
    </row>
    <row r="96" customFormat="false" ht="15" hidden="false" customHeight="false" outlineLevel="0" collapsed="false">
      <c r="A96" s="9"/>
      <c r="B96" s="9"/>
      <c r="C96" s="9"/>
      <c r="D96" s="10" t="str">
        <f aca="false">IF(A96="","",IFERROR(IF(INDEX('2 Measurements'!$B$2:$B$201,MATCH(A96,'2 Measurements'!$A$2:$A$201,0))="Measurement",'Read me'!$B$9&amp;"/"&amp;INDEX('2 Assets'!$F$2:$F$201,MATCH(INDEX('2 Measurements'!$C$2:$C$201,MATCH(A96,'2 Measurements'!$A$2:$A$201,0)),'2 Assets'!$A$2:$A$201,0))&amp;"/"&amp;INDEX('2 Measurements'!$F$2:$F$201,MATCH(A96,'2 Measurements'!$A$2:$A$201,0)),'Read me'!$B$10&amp;"/"&amp;IFERROR(IF(INDEX('2 Assets'!$E$2:$E$201,MATCH(INDEX('2 Assets'!$M$2:$M$201,MATCH(INDEX('2 Measurements'!$C$2:$C$201,MATCH(A96,'2 Measurements'!$A$2:$A$201,0)),'2 Assets'!$A$2:$A$201,0)),'2 Assets'!$A$2:$A$201,0))="",INDEX('2 Assets'!$M$2:$M$201,MATCH(INDEX('2 Measurements'!$C$2:$C$201,MATCH(A96,'2 Measurements'!$A$2:$A$201,0)),'2 Assets'!$A$2:$A$201,0)),INDEX('2 Assets'!$E$2:$E$201,MATCH(INDEX('2 Assets'!$M$2:$M$201,MATCH(INDEX('2 Measurements'!$C$2:$C$201,MATCH(A96,'2 Measurements'!$A$2:$A$201,0)),'2 Assets'!$A$2:$A$201,0)),'2 Assets'!$A$2:$A$201,0))),INDEX('2 Assets'!$M$2:$M$201,MATCH(INDEX('2 Measurements'!$C$2:$C$201,MATCH(A96,'2 Measurements'!$A$2:$A$201,0)),'2 Assets'!$A$2:$A$201,0)))&amp;"/"&amp;INDEX('2 Measurements'!$C$2:$C$201,MATCH(A96,'2 Measurements'!$A$2:$A$201,0))&amp;"/"&amp;INDEX('2 Measurements'!$F$2:$F$201,MATCH(A96,'2 Measurements'!$A$2:$A$201,0))),""))</f>
        <v/>
      </c>
      <c r="E96" s="10" t="str">
        <f aca="false">IF(A96="","",IF(SUMPRODUCT(--EXACT('2 Measurements'!$A$2:$A$201,A96))=0,"Not on the Measurements sheet",IF(SUMPRODUCT(--EXACT($A$2:$A$201,A96))&gt;1,"Listed twice",IF(D96="","Topic could not be built: check the asset and the measurement",IF(COUNTIF($D$2:$D$201,D96)&gt;1,"Topic used twice","ok")))))</f>
        <v/>
      </c>
    </row>
    <row r="97" customFormat="false" ht="15" hidden="false" customHeight="false" outlineLevel="0" collapsed="false">
      <c r="A97" s="9"/>
      <c r="B97" s="9"/>
      <c r="C97" s="9"/>
      <c r="D97" s="10" t="str">
        <f aca="false">IF(A97="","",IFERROR(IF(INDEX('2 Measurements'!$B$2:$B$201,MATCH(A97,'2 Measurements'!$A$2:$A$201,0))="Measurement",'Read me'!$B$9&amp;"/"&amp;INDEX('2 Assets'!$F$2:$F$201,MATCH(INDEX('2 Measurements'!$C$2:$C$201,MATCH(A97,'2 Measurements'!$A$2:$A$201,0)),'2 Assets'!$A$2:$A$201,0))&amp;"/"&amp;INDEX('2 Measurements'!$F$2:$F$201,MATCH(A97,'2 Measurements'!$A$2:$A$201,0)),'Read me'!$B$10&amp;"/"&amp;IFERROR(IF(INDEX('2 Assets'!$E$2:$E$201,MATCH(INDEX('2 Assets'!$M$2:$M$201,MATCH(INDEX('2 Measurements'!$C$2:$C$201,MATCH(A97,'2 Measurements'!$A$2:$A$201,0)),'2 Assets'!$A$2:$A$201,0)),'2 Assets'!$A$2:$A$201,0))="",INDEX('2 Assets'!$M$2:$M$201,MATCH(INDEX('2 Measurements'!$C$2:$C$201,MATCH(A97,'2 Measurements'!$A$2:$A$201,0)),'2 Assets'!$A$2:$A$201,0)),INDEX('2 Assets'!$E$2:$E$201,MATCH(INDEX('2 Assets'!$M$2:$M$201,MATCH(INDEX('2 Measurements'!$C$2:$C$201,MATCH(A97,'2 Measurements'!$A$2:$A$201,0)),'2 Assets'!$A$2:$A$201,0)),'2 Assets'!$A$2:$A$201,0))),INDEX('2 Assets'!$M$2:$M$201,MATCH(INDEX('2 Measurements'!$C$2:$C$201,MATCH(A97,'2 Measurements'!$A$2:$A$201,0)),'2 Assets'!$A$2:$A$201,0)))&amp;"/"&amp;INDEX('2 Measurements'!$C$2:$C$201,MATCH(A97,'2 Measurements'!$A$2:$A$201,0))&amp;"/"&amp;INDEX('2 Measurements'!$F$2:$F$201,MATCH(A97,'2 Measurements'!$A$2:$A$201,0))),""))</f>
        <v/>
      </c>
      <c r="E97" s="10" t="str">
        <f aca="false">IF(A97="","",IF(SUMPRODUCT(--EXACT('2 Measurements'!$A$2:$A$201,A97))=0,"Not on the Measurements sheet",IF(SUMPRODUCT(--EXACT($A$2:$A$201,A97))&gt;1,"Listed twice",IF(D97="","Topic could not be built: check the asset and the measurement",IF(COUNTIF($D$2:$D$201,D97)&gt;1,"Topic used twice","ok")))))</f>
        <v/>
      </c>
    </row>
    <row r="98" customFormat="false" ht="15" hidden="false" customHeight="false" outlineLevel="0" collapsed="false">
      <c r="A98" s="9"/>
      <c r="B98" s="9"/>
      <c r="C98" s="9"/>
      <c r="D98" s="10" t="str">
        <f aca="false">IF(A98="","",IFERROR(IF(INDEX('2 Measurements'!$B$2:$B$201,MATCH(A98,'2 Measurements'!$A$2:$A$201,0))="Measurement",'Read me'!$B$9&amp;"/"&amp;INDEX('2 Assets'!$F$2:$F$201,MATCH(INDEX('2 Measurements'!$C$2:$C$201,MATCH(A98,'2 Measurements'!$A$2:$A$201,0)),'2 Assets'!$A$2:$A$201,0))&amp;"/"&amp;INDEX('2 Measurements'!$F$2:$F$201,MATCH(A98,'2 Measurements'!$A$2:$A$201,0)),'Read me'!$B$10&amp;"/"&amp;IFERROR(IF(INDEX('2 Assets'!$E$2:$E$201,MATCH(INDEX('2 Assets'!$M$2:$M$201,MATCH(INDEX('2 Measurements'!$C$2:$C$201,MATCH(A98,'2 Measurements'!$A$2:$A$201,0)),'2 Assets'!$A$2:$A$201,0)),'2 Assets'!$A$2:$A$201,0))="",INDEX('2 Assets'!$M$2:$M$201,MATCH(INDEX('2 Measurements'!$C$2:$C$201,MATCH(A98,'2 Measurements'!$A$2:$A$201,0)),'2 Assets'!$A$2:$A$201,0)),INDEX('2 Assets'!$E$2:$E$201,MATCH(INDEX('2 Assets'!$M$2:$M$201,MATCH(INDEX('2 Measurements'!$C$2:$C$201,MATCH(A98,'2 Measurements'!$A$2:$A$201,0)),'2 Assets'!$A$2:$A$201,0)),'2 Assets'!$A$2:$A$201,0))),INDEX('2 Assets'!$M$2:$M$201,MATCH(INDEX('2 Measurements'!$C$2:$C$201,MATCH(A98,'2 Measurements'!$A$2:$A$201,0)),'2 Assets'!$A$2:$A$201,0)))&amp;"/"&amp;INDEX('2 Measurements'!$C$2:$C$201,MATCH(A98,'2 Measurements'!$A$2:$A$201,0))&amp;"/"&amp;INDEX('2 Measurements'!$F$2:$F$201,MATCH(A98,'2 Measurements'!$A$2:$A$201,0))),""))</f>
        <v/>
      </c>
      <c r="E98" s="10" t="str">
        <f aca="false">IF(A98="","",IF(SUMPRODUCT(--EXACT('2 Measurements'!$A$2:$A$201,A98))=0,"Not on the Measurements sheet",IF(SUMPRODUCT(--EXACT($A$2:$A$201,A98))&gt;1,"Listed twice",IF(D98="","Topic could not be built: check the asset and the measurement",IF(COUNTIF($D$2:$D$201,D98)&gt;1,"Topic used twice","ok")))))</f>
        <v/>
      </c>
    </row>
    <row r="99" customFormat="false" ht="15" hidden="false" customHeight="false" outlineLevel="0" collapsed="false">
      <c r="A99" s="9"/>
      <c r="B99" s="9"/>
      <c r="C99" s="9"/>
      <c r="D99" s="10" t="str">
        <f aca="false">IF(A99="","",IFERROR(IF(INDEX('2 Measurements'!$B$2:$B$201,MATCH(A99,'2 Measurements'!$A$2:$A$201,0))="Measurement",'Read me'!$B$9&amp;"/"&amp;INDEX('2 Assets'!$F$2:$F$201,MATCH(INDEX('2 Measurements'!$C$2:$C$201,MATCH(A99,'2 Measurements'!$A$2:$A$201,0)),'2 Assets'!$A$2:$A$201,0))&amp;"/"&amp;INDEX('2 Measurements'!$F$2:$F$201,MATCH(A99,'2 Measurements'!$A$2:$A$201,0)),'Read me'!$B$10&amp;"/"&amp;IFERROR(IF(INDEX('2 Assets'!$E$2:$E$201,MATCH(INDEX('2 Assets'!$M$2:$M$201,MATCH(INDEX('2 Measurements'!$C$2:$C$201,MATCH(A99,'2 Measurements'!$A$2:$A$201,0)),'2 Assets'!$A$2:$A$201,0)),'2 Assets'!$A$2:$A$201,0))="",INDEX('2 Assets'!$M$2:$M$201,MATCH(INDEX('2 Measurements'!$C$2:$C$201,MATCH(A99,'2 Measurements'!$A$2:$A$201,0)),'2 Assets'!$A$2:$A$201,0)),INDEX('2 Assets'!$E$2:$E$201,MATCH(INDEX('2 Assets'!$M$2:$M$201,MATCH(INDEX('2 Measurements'!$C$2:$C$201,MATCH(A99,'2 Measurements'!$A$2:$A$201,0)),'2 Assets'!$A$2:$A$201,0)),'2 Assets'!$A$2:$A$201,0))),INDEX('2 Assets'!$M$2:$M$201,MATCH(INDEX('2 Measurements'!$C$2:$C$201,MATCH(A99,'2 Measurements'!$A$2:$A$201,0)),'2 Assets'!$A$2:$A$201,0)))&amp;"/"&amp;INDEX('2 Measurements'!$C$2:$C$201,MATCH(A99,'2 Measurements'!$A$2:$A$201,0))&amp;"/"&amp;INDEX('2 Measurements'!$F$2:$F$201,MATCH(A99,'2 Measurements'!$A$2:$A$201,0))),""))</f>
        <v/>
      </c>
      <c r="E99" s="10" t="str">
        <f aca="false">IF(A99="","",IF(SUMPRODUCT(--EXACT('2 Measurements'!$A$2:$A$201,A99))=0,"Not on the Measurements sheet",IF(SUMPRODUCT(--EXACT($A$2:$A$201,A99))&gt;1,"Listed twice",IF(D99="","Topic could not be built: check the asset and the measurement",IF(COUNTIF($D$2:$D$201,D99)&gt;1,"Topic used twice","ok")))))</f>
        <v/>
      </c>
    </row>
    <row r="100" customFormat="false" ht="15" hidden="false" customHeight="false" outlineLevel="0" collapsed="false">
      <c r="A100" s="9"/>
      <c r="B100" s="9"/>
      <c r="C100" s="9"/>
      <c r="D100" s="10" t="str">
        <f aca="false">IF(A100="","",IFERROR(IF(INDEX('2 Measurements'!$B$2:$B$201,MATCH(A100,'2 Measurements'!$A$2:$A$201,0))="Measurement",'Read me'!$B$9&amp;"/"&amp;INDEX('2 Assets'!$F$2:$F$201,MATCH(INDEX('2 Measurements'!$C$2:$C$201,MATCH(A100,'2 Measurements'!$A$2:$A$201,0)),'2 Assets'!$A$2:$A$201,0))&amp;"/"&amp;INDEX('2 Measurements'!$F$2:$F$201,MATCH(A100,'2 Measurements'!$A$2:$A$201,0)),'Read me'!$B$10&amp;"/"&amp;IFERROR(IF(INDEX('2 Assets'!$E$2:$E$201,MATCH(INDEX('2 Assets'!$M$2:$M$201,MATCH(INDEX('2 Measurements'!$C$2:$C$201,MATCH(A100,'2 Measurements'!$A$2:$A$201,0)),'2 Assets'!$A$2:$A$201,0)),'2 Assets'!$A$2:$A$201,0))="",INDEX('2 Assets'!$M$2:$M$201,MATCH(INDEX('2 Measurements'!$C$2:$C$201,MATCH(A100,'2 Measurements'!$A$2:$A$201,0)),'2 Assets'!$A$2:$A$201,0)),INDEX('2 Assets'!$E$2:$E$201,MATCH(INDEX('2 Assets'!$M$2:$M$201,MATCH(INDEX('2 Measurements'!$C$2:$C$201,MATCH(A100,'2 Measurements'!$A$2:$A$201,0)),'2 Assets'!$A$2:$A$201,0)),'2 Assets'!$A$2:$A$201,0))),INDEX('2 Assets'!$M$2:$M$201,MATCH(INDEX('2 Measurements'!$C$2:$C$201,MATCH(A100,'2 Measurements'!$A$2:$A$201,0)),'2 Assets'!$A$2:$A$201,0)))&amp;"/"&amp;INDEX('2 Measurements'!$C$2:$C$201,MATCH(A100,'2 Measurements'!$A$2:$A$201,0))&amp;"/"&amp;INDEX('2 Measurements'!$F$2:$F$201,MATCH(A100,'2 Measurements'!$A$2:$A$201,0))),""))</f>
        <v/>
      </c>
      <c r="E100" s="10" t="str">
        <f aca="false">IF(A100="","",IF(SUMPRODUCT(--EXACT('2 Measurements'!$A$2:$A$201,A100))=0,"Not on the Measurements sheet",IF(SUMPRODUCT(--EXACT($A$2:$A$201,A100))&gt;1,"Listed twice",IF(D100="","Topic could not be built: check the asset and the measurement",IF(COUNTIF($D$2:$D$201,D100)&gt;1,"Topic used twice","ok")))))</f>
        <v/>
      </c>
    </row>
    <row r="101" customFormat="false" ht="15" hidden="false" customHeight="false" outlineLevel="0" collapsed="false">
      <c r="A101" s="9"/>
      <c r="B101" s="9"/>
      <c r="C101" s="9"/>
      <c r="D101" s="10" t="str">
        <f aca="false">IF(A101="","",IFERROR(IF(INDEX('2 Measurements'!$B$2:$B$201,MATCH(A101,'2 Measurements'!$A$2:$A$201,0))="Measurement",'Read me'!$B$9&amp;"/"&amp;INDEX('2 Assets'!$F$2:$F$201,MATCH(INDEX('2 Measurements'!$C$2:$C$201,MATCH(A101,'2 Measurements'!$A$2:$A$201,0)),'2 Assets'!$A$2:$A$201,0))&amp;"/"&amp;INDEX('2 Measurements'!$F$2:$F$201,MATCH(A101,'2 Measurements'!$A$2:$A$201,0)),'Read me'!$B$10&amp;"/"&amp;IFERROR(IF(INDEX('2 Assets'!$E$2:$E$201,MATCH(INDEX('2 Assets'!$M$2:$M$201,MATCH(INDEX('2 Measurements'!$C$2:$C$201,MATCH(A101,'2 Measurements'!$A$2:$A$201,0)),'2 Assets'!$A$2:$A$201,0)),'2 Assets'!$A$2:$A$201,0))="",INDEX('2 Assets'!$M$2:$M$201,MATCH(INDEX('2 Measurements'!$C$2:$C$201,MATCH(A101,'2 Measurements'!$A$2:$A$201,0)),'2 Assets'!$A$2:$A$201,0)),INDEX('2 Assets'!$E$2:$E$201,MATCH(INDEX('2 Assets'!$M$2:$M$201,MATCH(INDEX('2 Measurements'!$C$2:$C$201,MATCH(A101,'2 Measurements'!$A$2:$A$201,0)),'2 Assets'!$A$2:$A$201,0)),'2 Assets'!$A$2:$A$201,0))),INDEX('2 Assets'!$M$2:$M$201,MATCH(INDEX('2 Measurements'!$C$2:$C$201,MATCH(A101,'2 Measurements'!$A$2:$A$201,0)),'2 Assets'!$A$2:$A$201,0)))&amp;"/"&amp;INDEX('2 Measurements'!$C$2:$C$201,MATCH(A101,'2 Measurements'!$A$2:$A$201,0))&amp;"/"&amp;INDEX('2 Measurements'!$F$2:$F$201,MATCH(A101,'2 Measurements'!$A$2:$A$201,0))),""))</f>
        <v/>
      </c>
      <c r="E101" s="10" t="str">
        <f aca="false">IF(A101="","",IF(SUMPRODUCT(--EXACT('2 Measurements'!$A$2:$A$201,A101))=0,"Not on the Measurements sheet",IF(SUMPRODUCT(--EXACT($A$2:$A$201,A101))&gt;1,"Listed twice",IF(D101="","Topic could not be built: check the asset and the measurement",IF(COUNTIF($D$2:$D$201,D101)&gt;1,"Topic used twice","ok")))))</f>
        <v/>
      </c>
    </row>
    <row r="102" customFormat="false" ht="15" hidden="false" customHeight="false" outlineLevel="0" collapsed="false">
      <c r="A102" s="9"/>
      <c r="B102" s="9"/>
      <c r="C102" s="9"/>
      <c r="D102" s="10" t="str">
        <f aca="false">IF(A102="","",IFERROR(IF(INDEX('2 Measurements'!$B$2:$B$201,MATCH(A102,'2 Measurements'!$A$2:$A$201,0))="Measurement",'Read me'!$B$9&amp;"/"&amp;INDEX('2 Assets'!$F$2:$F$201,MATCH(INDEX('2 Measurements'!$C$2:$C$201,MATCH(A102,'2 Measurements'!$A$2:$A$201,0)),'2 Assets'!$A$2:$A$201,0))&amp;"/"&amp;INDEX('2 Measurements'!$F$2:$F$201,MATCH(A102,'2 Measurements'!$A$2:$A$201,0)),'Read me'!$B$10&amp;"/"&amp;IFERROR(IF(INDEX('2 Assets'!$E$2:$E$201,MATCH(INDEX('2 Assets'!$M$2:$M$201,MATCH(INDEX('2 Measurements'!$C$2:$C$201,MATCH(A102,'2 Measurements'!$A$2:$A$201,0)),'2 Assets'!$A$2:$A$201,0)),'2 Assets'!$A$2:$A$201,0))="",INDEX('2 Assets'!$M$2:$M$201,MATCH(INDEX('2 Measurements'!$C$2:$C$201,MATCH(A102,'2 Measurements'!$A$2:$A$201,0)),'2 Assets'!$A$2:$A$201,0)),INDEX('2 Assets'!$E$2:$E$201,MATCH(INDEX('2 Assets'!$M$2:$M$201,MATCH(INDEX('2 Measurements'!$C$2:$C$201,MATCH(A102,'2 Measurements'!$A$2:$A$201,0)),'2 Assets'!$A$2:$A$201,0)),'2 Assets'!$A$2:$A$201,0))),INDEX('2 Assets'!$M$2:$M$201,MATCH(INDEX('2 Measurements'!$C$2:$C$201,MATCH(A102,'2 Measurements'!$A$2:$A$201,0)),'2 Assets'!$A$2:$A$201,0)))&amp;"/"&amp;INDEX('2 Measurements'!$C$2:$C$201,MATCH(A102,'2 Measurements'!$A$2:$A$201,0))&amp;"/"&amp;INDEX('2 Measurements'!$F$2:$F$201,MATCH(A102,'2 Measurements'!$A$2:$A$201,0))),""))</f>
        <v/>
      </c>
      <c r="E102" s="10" t="str">
        <f aca="false">IF(A102="","",IF(SUMPRODUCT(--EXACT('2 Measurements'!$A$2:$A$201,A102))=0,"Not on the Measurements sheet",IF(SUMPRODUCT(--EXACT($A$2:$A$201,A102))&gt;1,"Listed twice",IF(D102="","Topic could not be built: check the asset and the measurement",IF(COUNTIF($D$2:$D$201,D102)&gt;1,"Topic used twice","ok")))))</f>
        <v/>
      </c>
    </row>
    <row r="103" customFormat="false" ht="15" hidden="false" customHeight="false" outlineLevel="0" collapsed="false">
      <c r="A103" s="9"/>
      <c r="B103" s="9"/>
      <c r="C103" s="9"/>
      <c r="D103" s="10" t="str">
        <f aca="false">IF(A103="","",IFERROR(IF(INDEX('2 Measurements'!$B$2:$B$201,MATCH(A103,'2 Measurements'!$A$2:$A$201,0))="Measurement",'Read me'!$B$9&amp;"/"&amp;INDEX('2 Assets'!$F$2:$F$201,MATCH(INDEX('2 Measurements'!$C$2:$C$201,MATCH(A103,'2 Measurements'!$A$2:$A$201,0)),'2 Assets'!$A$2:$A$201,0))&amp;"/"&amp;INDEX('2 Measurements'!$F$2:$F$201,MATCH(A103,'2 Measurements'!$A$2:$A$201,0)),'Read me'!$B$10&amp;"/"&amp;IFERROR(IF(INDEX('2 Assets'!$E$2:$E$201,MATCH(INDEX('2 Assets'!$M$2:$M$201,MATCH(INDEX('2 Measurements'!$C$2:$C$201,MATCH(A103,'2 Measurements'!$A$2:$A$201,0)),'2 Assets'!$A$2:$A$201,0)),'2 Assets'!$A$2:$A$201,0))="",INDEX('2 Assets'!$M$2:$M$201,MATCH(INDEX('2 Measurements'!$C$2:$C$201,MATCH(A103,'2 Measurements'!$A$2:$A$201,0)),'2 Assets'!$A$2:$A$201,0)),INDEX('2 Assets'!$E$2:$E$201,MATCH(INDEX('2 Assets'!$M$2:$M$201,MATCH(INDEX('2 Measurements'!$C$2:$C$201,MATCH(A103,'2 Measurements'!$A$2:$A$201,0)),'2 Assets'!$A$2:$A$201,0)),'2 Assets'!$A$2:$A$201,0))),INDEX('2 Assets'!$M$2:$M$201,MATCH(INDEX('2 Measurements'!$C$2:$C$201,MATCH(A103,'2 Measurements'!$A$2:$A$201,0)),'2 Assets'!$A$2:$A$201,0)))&amp;"/"&amp;INDEX('2 Measurements'!$C$2:$C$201,MATCH(A103,'2 Measurements'!$A$2:$A$201,0))&amp;"/"&amp;INDEX('2 Measurements'!$F$2:$F$201,MATCH(A103,'2 Measurements'!$A$2:$A$201,0))),""))</f>
        <v/>
      </c>
      <c r="E103" s="10" t="str">
        <f aca="false">IF(A103="","",IF(SUMPRODUCT(--EXACT('2 Measurements'!$A$2:$A$201,A103))=0,"Not on the Measurements sheet",IF(SUMPRODUCT(--EXACT($A$2:$A$201,A103))&gt;1,"Listed twice",IF(D103="","Topic could not be built: check the asset and the measurement",IF(COUNTIF($D$2:$D$201,D103)&gt;1,"Topic used twice","ok")))))</f>
        <v/>
      </c>
    </row>
    <row r="104" customFormat="false" ht="15" hidden="false" customHeight="false" outlineLevel="0" collapsed="false">
      <c r="A104" s="9"/>
      <c r="B104" s="9"/>
      <c r="C104" s="9"/>
      <c r="D104" s="10" t="str">
        <f aca="false">IF(A104="","",IFERROR(IF(INDEX('2 Measurements'!$B$2:$B$201,MATCH(A104,'2 Measurements'!$A$2:$A$201,0))="Measurement",'Read me'!$B$9&amp;"/"&amp;INDEX('2 Assets'!$F$2:$F$201,MATCH(INDEX('2 Measurements'!$C$2:$C$201,MATCH(A104,'2 Measurements'!$A$2:$A$201,0)),'2 Assets'!$A$2:$A$201,0))&amp;"/"&amp;INDEX('2 Measurements'!$F$2:$F$201,MATCH(A104,'2 Measurements'!$A$2:$A$201,0)),'Read me'!$B$10&amp;"/"&amp;IFERROR(IF(INDEX('2 Assets'!$E$2:$E$201,MATCH(INDEX('2 Assets'!$M$2:$M$201,MATCH(INDEX('2 Measurements'!$C$2:$C$201,MATCH(A104,'2 Measurements'!$A$2:$A$201,0)),'2 Assets'!$A$2:$A$201,0)),'2 Assets'!$A$2:$A$201,0))="",INDEX('2 Assets'!$M$2:$M$201,MATCH(INDEX('2 Measurements'!$C$2:$C$201,MATCH(A104,'2 Measurements'!$A$2:$A$201,0)),'2 Assets'!$A$2:$A$201,0)),INDEX('2 Assets'!$E$2:$E$201,MATCH(INDEX('2 Assets'!$M$2:$M$201,MATCH(INDEX('2 Measurements'!$C$2:$C$201,MATCH(A104,'2 Measurements'!$A$2:$A$201,0)),'2 Assets'!$A$2:$A$201,0)),'2 Assets'!$A$2:$A$201,0))),INDEX('2 Assets'!$M$2:$M$201,MATCH(INDEX('2 Measurements'!$C$2:$C$201,MATCH(A104,'2 Measurements'!$A$2:$A$201,0)),'2 Assets'!$A$2:$A$201,0)))&amp;"/"&amp;INDEX('2 Measurements'!$C$2:$C$201,MATCH(A104,'2 Measurements'!$A$2:$A$201,0))&amp;"/"&amp;INDEX('2 Measurements'!$F$2:$F$201,MATCH(A104,'2 Measurements'!$A$2:$A$201,0))),""))</f>
        <v/>
      </c>
      <c r="E104" s="10" t="str">
        <f aca="false">IF(A104="","",IF(SUMPRODUCT(--EXACT('2 Measurements'!$A$2:$A$201,A104))=0,"Not on the Measurements sheet",IF(SUMPRODUCT(--EXACT($A$2:$A$201,A104))&gt;1,"Listed twice",IF(D104="","Topic could not be built: check the asset and the measurement",IF(COUNTIF($D$2:$D$201,D104)&gt;1,"Topic used twice","ok")))))</f>
        <v/>
      </c>
    </row>
    <row r="105" customFormat="false" ht="15" hidden="false" customHeight="false" outlineLevel="0" collapsed="false">
      <c r="A105" s="9"/>
      <c r="B105" s="9"/>
      <c r="C105" s="9"/>
      <c r="D105" s="10" t="str">
        <f aca="false">IF(A105="","",IFERROR(IF(INDEX('2 Measurements'!$B$2:$B$201,MATCH(A105,'2 Measurements'!$A$2:$A$201,0))="Measurement",'Read me'!$B$9&amp;"/"&amp;INDEX('2 Assets'!$F$2:$F$201,MATCH(INDEX('2 Measurements'!$C$2:$C$201,MATCH(A105,'2 Measurements'!$A$2:$A$201,0)),'2 Assets'!$A$2:$A$201,0))&amp;"/"&amp;INDEX('2 Measurements'!$F$2:$F$201,MATCH(A105,'2 Measurements'!$A$2:$A$201,0)),'Read me'!$B$10&amp;"/"&amp;IFERROR(IF(INDEX('2 Assets'!$E$2:$E$201,MATCH(INDEX('2 Assets'!$M$2:$M$201,MATCH(INDEX('2 Measurements'!$C$2:$C$201,MATCH(A105,'2 Measurements'!$A$2:$A$201,0)),'2 Assets'!$A$2:$A$201,0)),'2 Assets'!$A$2:$A$201,0))="",INDEX('2 Assets'!$M$2:$M$201,MATCH(INDEX('2 Measurements'!$C$2:$C$201,MATCH(A105,'2 Measurements'!$A$2:$A$201,0)),'2 Assets'!$A$2:$A$201,0)),INDEX('2 Assets'!$E$2:$E$201,MATCH(INDEX('2 Assets'!$M$2:$M$201,MATCH(INDEX('2 Measurements'!$C$2:$C$201,MATCH(A105,'2 Measurements'!$A$2:$A$201,0)),'2 Assets'!$A$2:$A$201,0)),'2 Assets'!$A$2:$A$201,0))),INDEX('2 Assets'!$M$2:$M$201,MATCH(INDEX('2 Measurements'!$C$2:$C$201,MATCH(A105,'2 Measurements'!$A$2:$A$201,0)),'2 Assets'!$A$2:$A$201,0)))&amp;"/"&amp;INDEX('2 Measurements'!$C$2:$C$201,MATCH(A105,'2 Measurements'!$A$2:$A$201,0))&amp;"/"&amp;INDEX('2 Measurements'!$F$2:$F$201,MATCH(A105,'2 Measurements'!$A$2:$A$201,0))),""))</f>
        <v/>
      </c>
      <c r="E105" s="10" t="str">
        <f aca="false">IF(A105="","",IF(SUMPRODUCT(--EXACT('2 Measurements'!$A$2:$A$201,A105))=0,"Not on the Measurements sheet",IF(SUMPRODUCT(--EXACT($A$2:$A$201,A105))&gt;1,"Listed twice",IF(D105="","Topic could not be built: check the asset and the measurement",IF(COUNTIF($D$2:$D$201,D105)&gt;1,"Topic used twice","ok")))))</f>
        <v/>
      </c>
    </row>
    <row r="106" customFormat="false" ht="15" hidden="false" customHeight="false" outlineLevel="0" collapsed="false">
      <c r="A106" s="9"/>
      <c r="B106" s="9"/>
      <c r="C106" s="9"/>
      <c r="D106" s="10" t="str">
        <f aca="false">IF(A106="","",IFERROR(IF(INDEX('2 Measurements'!$B$2:$B$201,MATCH(A106,'2 Measurements'!$A$2:$A$201,0))="Measurement",'Read me'!$B$9&amp;"/"&amp;INDEX('2 Assets'!$F$2:$F$201,MATCH(INDEX('2 Measurements'!$C$2:$C$201,MATCH(A106,'2 Measurements'!$A$2:$A$201,0)),'2 Assets'!$A$2:$A$201,0))&amp;"/"&amp;INDEX('2 Measurements'!$F$2:$F$201,MATCH(A106,'2 Measurements'!$A$2:$A$201,0)),'Read me'!$B$10&amp;"/"&amp;IFERROR(IF(INDEX('2 Assets'!$E$2:$E$201,MATCH(INDEX('2 Assets'!$M$2:$M$201,MATCH(INDEX('2 Measurements'!$C$2:$C$201,MATCH(A106,'2 Measurements'!$A$2:$A$201,0)),'2 Assets'!$A$2:$A$201,0)),'2 Assets'!$A$2:$A$201,0))="",INDEX('2 Assets'!$M$2:$M$201,MATCH(INDEX('2 Measurements'!$C$2:$C$201,MATCH(A106,'2 Measurements'!$A$2:$A$201,0)),'2 Assets'!$A$2:$A$201,0)),INDEX('2 Assets'!$E$2:$E$201,MATCH(INDEX('2 Assets'!$M$2:$M$201,MATCH(INDEX('2 Measurements'!$C$2:$C$201,MATCH(A106,'2 Measurements'!$A$2:$A$201,0)),'2 Assets'!$A$2:$A$201,0)),'2 Assets'!$A$2:$A$201,0))),INDEX('2 Assets'!$M$2:$M$201,MATCH(INDEX('2 Measurements'!$C$2:$C$201,MATCH(A106,'2 Measurements'!$A$2:$A$201,0)),'2 Assets'!$A$2:$A$201,0)))&amp;"/"&amp;INDEX('2 Measurements'!$C$2:$C$201,MATCH(A106,'2 Measurements'!$A$2:$A$201,0))&amp;"/"&amp;INDEX('2 Measurements'!$F$2:$F$201,MATCH(A106,'2 Measurements'!$A$2:$A$201,0))),""))</f>
        <v/>
      </c>
      <c r="E106" s="10" t="str">
        <f aca="false">IF(A106="","",IF(SUMPRODUCT(--EXACT('2 Measurements'!$A$2:$A$201,A106))=0,"Not on the Measurements sheet",IF(SUMPRODUCT(--EXACT($A$2:$A$201,A106))&gt;1,"Listed twice",IF(D106="","Topic could not be built: check the asset and the measurement",IF(COUNTIF($D$2:$D$201,D106)&gt;1,"Topic used twice","ok")))))</f>
        <v/>
      </c>
    </row>
    <row r="107" customFormat="false" ht="15" hidden="false" customHeight="false" outlineLevel="0" collapsed="false">
      <c r="A107" s="9"/>
      <c r="B107" s="9"/>
      <c r="C107" s="9"/>
      <c r="D107" s="10" t="str">
        <f aca="false">IF(A107="","",IFERROR(IF(INDEX('2 Measurements'!$B$2:$B$201,MATCH(A107,'2 Measurements'!$A$2:$A$201,0))="Measurement",'Read me'!$B$9&amp;"/"&amp;INDEX('2 Assets'!$F$2:$F$201,MATCH(INDEX('2 Measurements'!$C$2:$C$201,MATCH(A107,'2 Measurements'!$A$2:$A$201,0)),'2 Assets'!$A$2:$A$201,0))&amp;"/"&amp;INDEX('2 Measurements'!$F$2:$F$201,MATCH(A107,'2 Measurements'!$A$2:$A$201,0)),'Read me'!$B$10&amp;"/"&amp;IFERROR(IF(INDEX('2 Assets'!$E$2:$E$201,MATCH(INDEX('2 Assets'!$M$2:$M$201,MATCH(INDEX('2 Measurements'!$C$2:$C$201,MATCH(A107,'2 Measurements'!$A$2:$A$201,0)),'2 Assets'!$A$2:$A$201,0)),'2 Assets'!$A$2:$A$201,0))="",INDEX('2 Assets'!$M$2:$M$201,MATCH(INDEX('2 Measurements'!$C$2:$C$201,MATCH(A107,'2 Measurements'!$A$2:$A$201,0)),'2 Assets'!$A$2:$A$201,0)),INDEX('2 Assets'!$E$2:$E$201,MATCH(INDEX('2 Assets'!$M$2:$M$201,MATCH(INDEX('2 Measurements'!$C$2:$C$201,MATCH(A107,'2 Measurements'!$A$2:$A$201,0)),'2 Assets'!$A$2:$A$201,0)),'2 Assets'!$A$2:$A$201,0))),INDEX('2 Assets'!$M$2:$M$201,MATCH(INDEX('2 Measurements'!$C$2:$C$201,MATCH(A107,'2 Measurements'!$A$2:$A$201,0)),'2 Assets'!$A$2:$A$201,0)))&amp;"/"&amp;INDEX('2 Measurements'!$C$2:$C$201,MATCH(A107,'2 Measurements'!$A$2:$A$201,0))&amp;"/"&amp;INDEX('2 Measurements'!$F$2:$F$201,MATCH(A107,'2 Measurements'!$A$2:$A$201,0))),""))</f>
        <v/>
      </c>
      <c r="E107" s="10" t="str">
        <f aca="false">IF(A107="","",IF(SUMPRODUCT(--EXACT('2 Measurements'!$A$2:$A$201,A107))=0,"Not on the Measurements sheet",IF(SUMPRODUCT(--EXACT($A$2:$A$201,A107))&gt;1,"Listed twice",IF(D107="","Topic could not be built: check the asset and the measurement",IF(COUNTIF($D$2:$D$201,D107)&gt;1,"Topic used twice","ok")))))</f>
        <v/>
      </c>
    </row>
    <row r="108" customFormat="false" ht="15" hidden="false" customHeight="false" outlineLevel="0" collapsed="false">
      <c r="A108" s="9"/>
      <c r="B108" s="9"/>
      <c r="C108" s="9"/>
      <c r="D108" s="10" t="str">
        <f aca="false">IF(A108="","",IFERROR(IF(INDEX('2 Measurements'!$B$2:$B$201,MATCH(A108,'2 Measurements'!$A$2:$A$201,0))="Measurement",'Read me'!$B$9&amp;"/"&amp;INDEX('2 Assets'!$F$2:$F$201,MATCH(INDEX('2 Measurements'!$C$2:$C$201,MATCH(A108,'2 Measurements'!$A$2:$A$201,0)),'2 Assets'!$A$2:$A$201,0))&amp;"/"&amp;INDEX('2 Measurements'!$F$2:$F$201,MATCH(A108,'2 Measurements'!$A$2:$A$201,0)),'Read me'!$B$10&amp;"/"&amp;IFERROR(IF(INDEX('2 Assets'!$E$2:$E$201,MATCH(INDEX('2 Assets'!$M$2:$M$201,MATCH(INDEX('2 Measurements'!$C$2:$C$201,MATCH(A108,'2 Measurements'!$A$2:$A$201,0)),'2 Assets'!$A$2:$A$201,0)),'2 Assets'!$A$2:$A$201,0))="",INDEX('2 Assets'!$M$2:$M$201,MATCH(INDEX('2 Measurements'!$C$2:$C$201,MATCH(A108,'2 Measurements'!$A$2:$A$201,0)),'2 Assets'!$A$2:$A$201,0)),INDEX('2 Assets'!$E$2:$E$201,MATCH(INDEX('2 Assets'!$M$2:$M$201,MATCH(INDEX('2 Measurements'!$C$2:$C$201,MATCH(A108,'2 Measurements'!$A$2:$A$201,0)),'2 Assets'!$A$2:$A$201,0)),'2 Assets'!$A$2:$A$201,0))),INDEX('2 Assets'!$M$2:$M$201,MATCH(INDEX('2 Measurements'!$C$2:$C$201,MATCH(A108,'2 Measurements'!$A$2:$A$201,0)),'2 Assets'!$A$2:$A$201,0)))&amp;"/"&amp;INDEX('2 Measurements'!$C$2:$C$201,MATCH(A108,'2 Measurements'!$A$2:$A$201,0))&amp;"/"&amp;INDEX('2 Measurements'!$F$2:$F$201,MATCH(A108,'2 Measurements'!$A$2:$A$201,0))),""))</f>
        <v/>
      </c>
      <c r="E108" s="10" t="str">
        <f aca="false">IF(A108="","",IF(SUMPRODUCT(--EXACT('2 Measurements'!$A$2:$A$201,A108))=0,"Not on the Measurements sheet",IF(SUMPRODUCT(--EXACT($A$2:$A$201,A108))&gt;1,"Listed twice",IF(D108="","Topic could not be built: check the asset and the measurement",IF(COUNTIF($D$2:$D$201,D108)&gt;1,"Topic used twice","ok")))))</f>
        <v/>
      </c>
    </row>
    <row r="109" customFormat="false" ht="15" hidden="false" customHeight="false" outlineLevel="0" collapsed="false">
      <c r="A109" s="9"/>
      <c r="B109" s="9"/>
      <c r="C109" s="9"/>
      <c r="D109" s="10" t="str">
        <f aca="false">IF(A109="","",IFERROR(IF(INDEX('2 Measurements'!$B$2:$B$201,MATCH(A109,'2 Measurements'!$A$2:$A$201,0))="Measurement",'Read me'!$B$9&amp;"/"&amp;INDEX('2 Assets'!$F$2:$F$201,MATCH(INDEX('2 Measurements'!$C$2:$C$201,MATCH(A109,'2 Measurements'!$A$2:$A$201,0)),'2 Assets'!$A$2:$A$201,0))&amp;"/"&amp;INDEX('2 Measurements'!$F$2:$F$201,MATCH(A109,'2 Measurements'!$A$2:$A$201,0)),'Read me'!$B$10&amp;"/"&amp;IFERROR(IF(INDEX('2 Assets'!$E$2:$E$201,MATCH(INDEX('2 Assets'!$M$2:$M$201,MATCH(INDEX('2 Measurements'!$C$2:$C$201,MATCH(A109,'2 Measurements'!$A$2:$A$201,0)),'2 Assets'!$A$2:$A$201,0)),'2 Assets'!$A$2:$A$201,0))="",INDEX('2 Assets'!$M$2:$M$201,MATCH(INDEX('2 Measurements'!$C$2:$C$201,MATCH(A109,'2 Measurements'!$A$2:$A$201,0)),'2 Assets'!$A$2:$A$201,0)),INDEX('2 Assets'!$E$2:$E$201,MATCH(INDEX('2 Assets'!$M$2:$M$201,MATCH(INDEX('2 Measurements'!$C$2:$C$201,MATCH(A109,'2 Measurements'!$A$2:$A$201,0)),'2 Assets'!$A$2:$A$201,0)),'2 Assets'!$A$2:$A$201,0))),INDEX('2 Assets'!$M$2:$M$201,MATCH(INDEX('2 Measurements'!$C$2:$C$201,MATCH(A109,'2 Measurements'!$A$2:$A$201,0)),'2 Assets'!$A$2:$A$201,0)))&amp;"/"&amp;INDEX('2 Measurements'!$C$2:$C$201,MATCH(A109,'2 Measurements'!$A$2:$A$201,0))&amp;"/"&amp;INDEX('2 Measurements'!$F$2:$F$201,MATCH(A109,'2 Measurements'!$A$2:$A$201,0))),""))</f>
        <v/>
      </c>
      <c r="E109" s="10" t="str">
        <f aca="false">IF(A109="","",IF(SUMPRODUCT(--EXACT('2 Measurements'!$A$2:$A$201,A109))=0,"Not on the Measurements sheet",IF(SUMPRODUCT(--EXACT($A$2:$A$201,A109))&gt;1,"Listed twice",IF(D109="","Topic could not be built: check the asset and the measurement",IF(COUNTIF($D$2:$D$201,D109)&gt;1,"Topic used twice","ok")))))</f>
        <v/>
      </c>
    </row>
    <row r="110" customFormat="false" ht="15" hidden="false" customHeight="false" outlineLevel="0" collapsed="false">
      <c r="A110" s="9"/>
      <c r="B110" s="9"/>
      <c r="C110" s="9"/>
      <c r="D110" s="10" t="str">
        <f aca="false">IF(A110="","",IFERROR(IF(INDEX('2 Measurements'!$B$2:$B$201,MATCH(A110,'2 Measurements'!$A$2:$A$201,0))="Measurement",'Read me'!$B$9&amp;"/"&amp;INDEX('2 Assets'!$F$2:$F$201,MATCH(INDEX('2 Measurements'!$C$2:$C$201,MATCH(A110,'2 Measurements'!$A$2:$A$201,0)),'2 Assets'!$A$2:$A$201,0))&amp;"/"&amp;INDEX('2 Measurements'!$F$2:$F$201,MATCH(A110,'2 Measurements'!$A$2:$A$201,0)),'Read me'!$B$10&amp;"/"&amp;IFERROR(IF(INDEX('2 Assets'!$E$2:$E$201,MATCH(INDEX('2 Assets'!$M$2:$M$201,MATCH(INDEX('2 Measurements'!$C$2:$C$201,MATCH(A110,'2 Measurements'!$A$2:$A$201,0)),'2 Assets'!$A$2:$A$201,0)),'2 Assets'!$A$2:$A$201,0))="",INDEX('2 Assets'!$M$2:$M$201,MATCH(INDEX('2 Measurements'!$C$2:$C$201,MATCH(A110,'2 Measurements'!$A$2:$A$201,0)),'2 Assets'!$A$2:$A$201,0)),INDEX('2 Assets'!$E$2:$E$201,MATCH(INDEX('2 Assets'!$M$2:$M$201,MATCH(INDEX('2 Measurements'!$C$2:$C$201,MATCH(A110,'2 Measurements'!$A$2:$A$201,0)),'2 Assets'!$A$2:$A$201,0)),'2 Assets'!$A$2:$A$201,0))),INDEX('2 Assets'!$M$2:$M$201,MATCH(INDEX('2 Measurements'!$C$2:$C$201,MATCH(A110,'2 Measurements'!$A$2:$A$201,0)),'2 Assets'!$A$2:$A$201,0)))&amp;"/"&amp;INDEX('2 Measurements'!$C$2:$C$201,MATCH(A110,'2 Measurements'!$A$2:$A$201,0))&amp;"/"&amp;INDEX('2 Measurements'!$F$2:$F$201,MATCH(A110,'2 Measurements'!$A$2:$A$201,0))),""))</f>
        <v/>
      </c>
      <c r="E110" s="10" t="str">
        <f aca="false">IF(A110="","",IF(SUMPRODUCT(--EXACT('2 Measurements'!$A$2:$A$201,A110))=0,"Not on the Measurements sheet",IF(SUMPRODUCT(--EXACT($A$2:$A$201,A110))&gt;1,"Listed twice",IF(D110="","Topic could not be built: check the asset and the measurement",IF(COUNTIF($D$2:$D$201,D110)&gt;1,"Topic used twice","ok")))))</f>
        <v/>
      </c>
    </row>
    <row r="111" customFormat="false" ht="15" hidden="false" customHeight="false" outlineLevel="0" collapsed="false">
      <c r="A111" s="9"/>
      <c r="B111" s="9"/>
      <c r="C111" s="9"/>
      <c r="D111" s="10" t="str">
        <f aca="false">IF(A111="","",IFERROR(IF(INDEX('2 Measurements'!$B$2:$B$201,MATCH(A111,'2 Measurements'!$A$2:$A$201,0))="Measurement",'Read me'!$B$9&amp;"/"&amp;INDEX('2 Assets'!$F$2:$F$201,MATCH(INDEX('2 Measurements'!$C$2:$C$201,MATCH(A111,'2 Measurements'!$A$2:$A$201,0)),'2 Assets'!$A$2:$A$201,0))&amp;"/"&amp;INDEX('2 Measurements'!$F$2:$F$201,MATCH(A111,'2 Measurements'!$A$2:$A$201,0)),'Read me'!$B$10&amp;"/"&amp;IFERROR(IF(INDEX('2 Assets'!$E$2:$E$201,MATCH(INDEX('2 Assets'!$M$2:$M$201,MATCH(INDEX('2 Measurements'!$C$2:$C$201,MATCH(A111,'2 Measurements'!$A$2:$A$201,0)),'2 Assets'!$A$2:$A$201,0)),'2 Assets'!$A$2:$A$201,0))="",INDEX('2 Assets'!$M$2:$M$201,MATCH(INDEX('2 Measurements'!$C$2:$C$201,MATCH(A111,'2 Measurements'!$A$2:$A$201,0)),'2 Assets'!$A$2:$A$201,0)),INDEX('2 Assets'!$E$2:$E$201,MATCH(INDEX('2 Assets'!$M$2:$M$201,MATCH(INDEX('2 Measurements'!$C$2:$C$201,MATCH(A111,'2 Measurements'!$A$2:$A$201,0)),'2 Assets'!$A$2:$A$201,0)),'2 Assets'!$A$2:$A$201,0))),INDEX('2 Assets'!$M$2:$M$201,MATCH(INDEX('2 Measurements'!$C$2:$C$201,MATCH(A111,'2 Measurements'!$A$2:$A$201,0)),'2 Assets'!$A$2:$A$201,0)))&amp;"/"&amp;INDEX('2 Measurements'!$C$2:$C$201,MATCH(A111,'2 Measurements'!$A$2:$A$201,0))&amp;"/"&amp;INDEX('2 Measurements'!$F$2:$F$201,MATCH(A111,'2 Measurements'!$A$2:$A$201,0))),""))</f>
        <v/>
      </c>
      <c r="E111" s="10" t="str">
        <f aca="false">IF(A111="","",IF(SUMPRODUCT(--EXACT('2 Measurements'!$A$2:$A$201,A111))=0,"Not on the Measurements sheet",IF(SUMPRODUCT(--EXACT($A$2:$A$201,A111))&gt;1,"Listed twice",IF(D111="","Topic could not be built: check the asset and the measurement",IF(COUNTIF($D$2:$D$201,D111)&gt;1,"Topic used twice","ok")))))</f>
        <v/>
      </c>
    </row>
    <row r="112" customFormat="false" ht="15" hidden="false" customHeight="false" outlineLevel="0" collapsed="false">
      <c r="A112" s="9"/>
      <c r="B112" s="9"/>
      <c r="C112" s="9"/>
      <c r="D112" s="10" t="str">
        <f aca="false">IF(A112="","",IFERROR(IF(INDEX('2 Measurements'!$B$2:$B$201,MATCH(A112,'2 Measurements'!$A$2:$A$201,0))="Measurement",'Read me'!$B$9&amp;"/"&amp;INDEX('2 Assets'!$F$2:$F$201,MATCH(INDEX('2 Measurements'!$C$2:$C$201,MATCH(A112,'2 Measurements'!$A$2:$A$201,0)),'2 Assets'!$A$2:$A$201,0))&amp;"/"&amp;INDEX('2 Measurements'!$F$2:$F$201,MATCH(A112,'2 Measurements'!$A$2:$A$201,0)),'Read me'!$B$10&amp;"/"&amp;IFERROR(IF(INDEX('2 Assets'!$E$2:$E$201,MATCH(INDEX('2 Assets'!$M$2:$M$201,MATCH(INDEX('2 Measurements'!$C$2:$C$201,MATCH(A112,'2 Measurements'!$A$2:$A$201,0)),'2 Assets'!$A$2:$A$201,0)),'2 Assets'!$A$2:$A$201,0))="",INDEX('2 Assets'!$M$2:$M$201,MATCH(INDEX('2 Measurements'!$C$2:$C$201,MATCH(A112,'2 Measurements'!$A$2:$A$201,0)),'2 Assets'!$A$2:$A$201,0)),INDEX('2 Assets'!$E$2:$E$201,MATCH(INDEX('2 Assets'!$M$2:$M$201,MATCH(INDEX('2 Measurements'!$C$2:$C$201,MATCH(A112,'2 Measurements'!$A$2:$A$201,0)),'2 Assets'!$A$2:$A$201,0)),'2 Assets'!$A$2:$A$201,0))),INDEX('2 Assets'!$M$2:$M$201,MATCH(INDEX('2 Measurements'!$C$2:$C$201,MATCH(A112,'2 Measurements'!$A$2:$A$201,0)),'2 Assets'!$A$2:$A$201,0)))&amp;"/"&amp;INDEX('2 Measurements'!$C$2:$C$201,MATCH(A112,'2 Measurements'!$A$2:$A$201,0))&amp;"/"&amp;INDEX('2 Measurements'!$F$2:$F$201,MATCH(A112,'2 Measurements'!$A$2:$A$201,0))),""))</f>
        <v/>
      </c>
      <c r="E112" s="10" t="str">
        <f aca="false">IF(A112="","",IF(SUMPRODUCT(--EXACT('2 Measurements'!$A$2:$A$201,A112))=0,"Not on the Measurements sheet",IF(SUMPRODUCT(--EXACT($A$2:$A$201,A112))&gt;1,"Listed twice",IF(D112="","Topic could not be built: check the asset and the measurement",IF(COUNTIF($D$2:$D$201,D112)&gt;1,"Topic used twice","ok")))))</f>
        <v/>
      </c>
    </row>
    <row r="113" customFormat="false" ht="15" hidden="false" customHeight="false" outlineLevel="0" collapsed="false">
      <c r="A113" s="9"/>
      <c r="B113" s="9"/>
      <c r="C113" s="9"/>
      <c r="D113" s="10" t="str">
        <f aca="false">IF(A113="","",IFERROR(IF(INDEX('2 Measurements'!$B$2:$B$201,MATCH(A113,'2 Measurements'!$A$2:$A$201,0))="Measurement",'Read me'!$B$9&amp;"/"&amp;INDEX('2 Assets'!$F$2:$F$201,MATCH(INDEX('2 Measurements'!$C$2:$C$201,MATCH(A113,'2 Measurements'!$A$2:$A$201,0)),'2 Assets'!$A$2:$A$201,0))&amp;"/"&amp;INDEX('2 Measurements'!$F$2:$F$201,MATCH(A113,'2 Measurements'!$A$2:$A$201,0)),'Read me'!$B$10&amp;"/"&amp;IFERROR(IF(INDEX('2 Assets'!$E$2:$E$201,MATCH(INDEX('2 Assets'!$M$2:$M$201,MATCH(INDEX('2 Measurements'!$C$2:$C$201,MATCH(A113,'2 Measurements'!$A$2:$A$201,0)),'2 Assets'!$A$2:$A$201,0)),'2 Assets'!$A$2:$A$201,0))="",INDEX('2 Assets'!$M$2:$M$201,MATCH(INDEX('2 Measurements'!$C$2:$C$201,MATCH(A113,'2 Measurements'!$A$2:$A$201,0)),'2 Assets'!$A$2:$A$201,0)),INDEX('2 Assets'!$E$2:$E$201,MATCH(INDEX('2 Assets'!$M$2:$M$201,MATCH(INDEX('2 Measurements'!$C$2:$C$201,MATCH(A113,'2 Measurements'!$A$2:$A$201,0)),'2 Assets'!$A$2:$A$201,0)),'2 Assets'!$A$2:$A$201,0))),INDEX('2 Assets'!$M$2:$M$201,MATCH(INDEX('2 Measurements'!$C$2:$C$201,MATCH(A113,'2 Measurements'!$A$2:$A$201,0)),'2 Assets'!$A$2:$A$201,0)))&amp;"/"&amp;INDEX('2 Measurements'!$C$2:$C$201,MATCH(A113,'2 Measurements'!$A$2:$A$201,0))&amp;"/"&amp;INDEX('2 Measurements'!$F$2:$F$201,MATCH(A113,'2 Measurements'!$A$2:$A$201,0))),""))</f>
        <v/>
      </c>
      <c r="E113" s="10" t="str">
        <f aca="false">IF(A113="","",IF(SUMPRODUCT(--EXACT('2 Measurements'!$A$2:$A$201,A113))=0,"Not on the Measurements sheet",IF(SUMPRODUCT(--EXACT($A$2:$A$201,A113))&gt;1,"Listed twice",IF(D113="","Topic could not be built: check the asset and the measurement",IF(COUNTIF($D$2:$D$201,D113)&gt;1,"Topic used twice","ok")))))</f>
        <v/>
      </c>
    </row>
    <row r="114" customFormat="false" ht="15" hidden="false" customHeight="false" outlineLevel="0" collapsed="false">
      <c r="A114" s="9"/>
      <c r="B114" s="9"/>
      <c r="C114" s="9"/>
      <c r="D114" s="10" t="str">
        <f aca="false">IF(A114="","",IFERROR(IF(INDEX('2 Measurements'!$B$2:$B$201,MATCH(A114,'2 Measurements'!$A$2:$A$201,0))="Measurement",'Read me'!$B$9&amp;"/"&amp;INDEX('2 Assets'!$F$2:$F$201,MATCH(INDEX('2 Measurements'!$C$2:$C$201,MATCH(A114,'2 Measurements'!$A$2:$A$201,0)),'2 Assets'!$A$2:$A$201,0))&amp;"/"&amp;INDEX('2 Measurements'!$F$2:$F$201,MATCH(A114,'2 Measurements'!$A$2:$A$201,0)),'Read me'!$B$10&amp;"/"&amp;IFERROR(IF(INDEX('2 Assets'!$E$2:$E$201,MATCH(INDEX('2 Assets'!$M$2:$M$201,MATCH(INDEX('2 Measurements'!$C$2:$C$201,MATCH(A114,'2 Measurements'!$A$2:$A$201,0)),'2 Assets'!$A$2:$A$201,0)),'2 Assets'!$A$2:$A$201,0))="",INDEX('2 Assets'!$M$2:$M$201,MATCH(INDEX('2 Measurements'!$C$2:$C$201,MATCH(A114,'2 Measurements'!$A$2:$A$201,0)),'2 Assets'!$A$2:$A$201,0)),INDEX('2 Assets'!$E$2:$E$201,MATCH(INDEX('2 Assets'!$M$2:$M$201,MATCH(INDEX('2 Measurements'!$C$2:$C$201,MATCH(A114,'2 Measurements'!$A$2:$A$201,0)),'2 Assets'!$A$2:$A$201,0)),'2 Assets'!$A$2:$A$201,0))),INDEX('2 Assets'!$M$2:$M$201,MATCH(INDEX('2 Measurements'!$C$2:$C$201,MATCH(A114,'2 Measurements'!$A$2:$A$201,0)),'2 Assets'!$A$2:$A$201,0)))&amp;"/"&amp;INDEX('2 Measurements'!$C$2:$C$201,MATCH(A114,'2 Measurements'!$A$2:$A$201,0))&amp;"/"&amp;INDEX('2 Measurements'!$F$2:$F$201,MATCH(A114,'2 Measurements'!$A$2:$A$201,0))),""))</f>
        <v/>
      </c>
      <c r="E114" s="10" t="str">
        <f aca="false">IF(A114="","",IF(SUMPRODUCT(--EXACT('2 Measurements'!$A$2:$A$201,A114))=0,"Not on the Measurements sheet",IF(SUMPRODUCT(--EXACT($A$2:$A$201,A114))&gt;1,"Listed twice",IF(D114="","Topic could not be built: check the asset and the measurement",IF(COUNTIF($D$2:$D$201,D114)&gt;1,"Topic used twice","ok")))))</f>
        <v/>
      </c>
    </row>
    <row r="115" customFormat="false" ht="15" hidden="false" customHeight="false" outlineLevel="0" collapsed="false">
      <c r="A115" s="9"/>
      <c r="B115" s="9"/>
      <c r="C115" s="9"/>
      <c r="D115" s="10" t="str">
        <f aca="false">IF(A115="","",IFERROR(IF(INDEX('2 Measurements'!$B$2:$B$201,MATCH(A115,'2 Measurements'!$A$2:$A$201,0))="Measurement",'Read me'!$B$9&amp;"/"&amp;INDEX('2 Assets'!$F$2:$F$201,MATCH(INDEX('2 Measurements'!$C$2:$C$201,MATCH(A115,'2 Measurements'!$A$2:$A$201,0)),'2 Assets'!$A$2:$A$201,0))&amp;"/"&amp;INDEX('2 Measurements'!$F$2:$F$201,MATCH(A115,'2 Measurements'!$A$2:$A$201,0)),'Read me'!$B$10&amp;"/"&amp;IFERROR(IF(INDEX('2 Assets'!$E$2:$E$201,MATCH(INDEX('2 Assets'!$M$2:$M$201,MATCH(INDEX('2 Measurements'!$C$2:$C$201,MATCH(A115,'2 Measurements'!$A$2:$A$201,0)),'2 Assets'!$A$2:$A$201,0)),'2 Assets'!$A$2:$A$201,0))="",INDEX('2 Assets'!$M$2:$M$201,MATCH(INDEX('2 Measurements'!$C$2:$C$201,MATCH(A115,'2 Measurements'!$A$2:$A$201,0)),'2 Assets'!$A$2:$A$201,0)),INDEX('2 Assets'!$E$2:$E$201,MATCH(INDEX('2 Assets'!$M$2:$M$201,MATCH(INDEX('2 Measurements'!$C$2:$C$201,MATCH(A115,'2 Measurements'!$A$2:$A$201,0)),'2 Assets'!$A$2:$A$201,0)),'2 Assets'!$A$2:$A$201,0))),INDEX('2 Assets'!$M$2:$M$201,MATCH(INDEX('2 Measurements'!$C$2:$C$201,MATCH(A115,'2 Measurements'!$A$2:$A$201,0)),'2 Assets'!$A$2:$A$201,0)))&amp;"/"&amp;INDEX('2 Measurements'!$C$2:$C$201,MATCH(A115,'2 Measurements'!$A$2:$A$201,0))&amp;"/"&amp;INDEX('2 Measurements'!$F$2:$F$201,MATCH(A115,'2 Measurements'!$A$2:$A$201,0))),""))</f>
        <v/>
      </c>
      <c r="E115" s="10" t="str">
        <f aca="false">IF(A115="","",IF(SUMPRODUCT(--EXACT('2 Measurements'!$A$2:$A$201,A115))=0,"Not on the Measurements sheet",IF(SUMPRODUCT(--EXACT($A$2:$A$201,A115))&gt;1,"Listed twice",IF(D115="","Topic could not be built: check the asset and the measurement",IF(COUNTIF($D$2:$D$201,D115)&gt;1,"Topic used twice","ok")))))</f>
        <v/>
      </c>
    </row>
    <row r="116" customFormat="false" ht="15" hidden="false" customHeight="false" outlineLevel="0" collapsed="false">
      <c r="A116" s="9"/>
      <c r="B116" s="9"/>
      <c r="C116" s="9"/>
      <c r="D116" s="10" t="str">
        <f aca="false">IF(A116="","",IFERROR(IF(INDEX('2 Measurements'!$B$2:$B$201,MATCH(A116,'2 Measurements'!$A$2:$A$201,0))="Measurement",'Read me'!$B$9&amp;"/"&amp;INDEX('2 Assets'!$F$2:$F$201,MATCH(INDEX('2 Measurements'!$C$2:$C$201,MATCH(A116,'2 Measurements'!$A$2:$A$201,0)),'2 Assets'!$A$2:$A$201,0))&amp;"/"&amp;INDEX('2 Measurements'!$F$2:$F$201,MATCH(A116,'2 Measurements'!$A$2:$A$201,0)),'Read me'!$B$10&amp;"/"&amp;IFERROR(IF(INDEX('2 Assets'!$E$2:$E$201,MATCH(INDEX('2 Assets'!$M$2:$M$201,MATCH(INDEX('2 Measurements'!$C$2:$C$201,MATCH(A116,'2 Measurements'!$A$2:$A$201,0)),'2 Assets'!$A$2:$A$201,0)),'2 Assets'!$A$2:$A$201,0))="",INDEX('2 Assets'!$M$2:$M$201,MATCH(INDEX('2 Measurements'!$C$2:$C$201,MATCH(A116,'2 Measurements'!$A$2:$A$201,0)),'2 Assets'!$A$2:$A$201,0)),INDEX('2 Assets'!$E$2:$E$201,MATCH(INDEX('2 Assets'!$M$2:$M$201,MATCH(INDEX('2 Measurements'!$C$2:$C$201,MATCH(A116,'2 Measurements'!$A$2:$A$201,0)),'2 Assets'!$A$2:$A$201,0)),'2 Assets'!$A$2:$A$201,0))),INDEX('2 Assets'!$M$2:$M$201,MATCH(INDEX('2 Measurements'!$C$2:$C$201,MATCH(A116,'2 Measurements'!$A$2:$A$201,0)),'2 Assets'!$A$2:$A$201,0)))&amp;"/"&amp;INDEX('2 Measurements'!$C$2:$C$201,MATCH(A116,'2 Measurements'!$A$2:$A$201,0))&amp;"/"&amp;INDEX('2 Measurements'!$F$2:$F$201,MATCH(A116,'2 Measurements'!$A$2:$A$201,0))),""))</f>
        <v/>
      </c>
      <c r="E116" s="10" t="str">
        <f aca="false">IF(A116="","",IF(SUMPRODUCT(--EXACT('2 Measurements'!$A$2:$A$201,A116))=0,"Not on the Measurements sheet",IF(SUMPRODUCT(--EXACT($A$2:$A$201,A116))&gt;1,"Listed twice",IF(D116="","Topic could not be built: check the asset and the measurement",IF(COUNTIF($D$2:$D$201,D116)&gt;1,"Topic used twice","ok")))))</f>
        <v/>
      </c>
    </row>
    <row r="117" customFormat="false" ht="15" hidden="false" customHeight="false" outlineLevel="0" collapsed="false">
      <c r="A117" s="9"/>
      <c r="B117" s="9"/>
      <c r="C117" s="9"/>
      <c r="D117" s="10" t="str">
        <f aca="false">IF(A117="","",IFERROR(IF(INDEX('2 Measurements'!$B$2:$B$201,MATCH(A117,'2 Measurements'!$A$2:$A$201,0))="Measurement",'Read me'!$B$9&amp;"/"&amp;INDEX('2 Assets'!$F$2:$F$201,MATCH(INDEX('2 Measurements'!$C$2:$C$201,MATCH(A117,'2 Measurements'!$A$2:$A$201,0)),'2 Assets'!$A$2:$A$201,0))&amp;"/"&amp;INDEX('2 Measurements'!$F$2:$F$201,MATCH(A117,'2 Measurements'!$A$2:$A$201,0)),'Read me'!$B$10&amp;"/"&amp;IFERROR(IF(INDEX('2 Assets'!$E$2:$E$201,MATCH(INDEX('2 Assets'!$M$2:$M$201,MATCH(INDEX('2 Measurements'!$C$2:$C$201,MATCH(A117,'2 Measurements'!$A$2:$A$201,0)),'2 Assets'!$A$2:$A$201,0)),'2 Assets'!$A$2:$A$201,0))="",INDEX('2 Assets'!$M$2:$M$201,MATCH(INDEX('2 Measurements'!$C$2:$C$201,MATCH(A117,'2 Measurements'!$A$2:$A$201,0)),'2 Assets'!$A$2:$A$201,0)),INDEX('2 Assets'!$E$2:$E$201,MATCH(INDEX('2 Assets'!$M$2:$M$201,MATCH(INDEX('2 Measurements'!$C$2:$C$201,MATCH(A117,'2 Measurements'!$A$2:$A$201,0)),'2 Assets'!$A$2:$A$201,0)),'2 Assets'!$A$2:$A$201,0))),INDEX('2 Assets'!$M$2:$M$201,MATCH(INDEX('2 Measurements'!$C$2:$C$201,MATCH(A117,'2 Measurements'!$A$2:$A$201,0)),'2 Assets'!$A$2:$A$201,0)))&amp;"/"&amp;INDEX('2 Measurements'!$C$2:$C$201,MATCH(A117,'2 Measurements'!$A$2:$A$201,0))&amp;"/"&amp;INDEX('2 Measurements'!$F$2:$F$201,MATCH(A117,'2 Measurements'!$A$2:$A$201,0))),""))</f>
        <v/>
      </c>
      <c r="E117" s="10" t="str">
        <f aca="false">IF(A117="","",IF(SUMPRODUCT(--EXACT('2 Measurements'!$A$2:$A$201,A117))=0,"Not on the Measurements sheet",IF(SUMPRODUCT(--EXACT($A$2:$A$201,A117))&gt;1,"Listed twice",IF(D117="","Topic could not be built: check the asset and the measurement",IF(COUNTIF($D$2:$D$201,D117)&gt;1,"Topic used twice","ok")))))</f>
        <v/>
      </c>
    </row>
    <row r="118" customFormat="false" ht="15" hidden="false" customHeight="false" outlineLevel="0" collapsed="false">
      <c r="A118" s="9"/>
      <c r="B118" s="9"/>
      <c r="C118" s="9"/>
      <c r="D118" s="10" t="str">
        <f aca="false">IF(A118="","",IFERROR(IF(INDEX('2 Measurements'!$B$2:$B$201,MATCH(A118,'2 Measurements'!$A$2:$A$201,0))="Measurement",'Read me'!$B$9&amp;"/"&amp;INDEX('2 Assets'!$F$2:$F$201,MATCH(INDEX('2 Measurements'!$C$2:$C$201,MATCH(A118,'2 Measurements'!$A$2:$A$201,0)),'2 Assets'!$A$2:$A$201,0))&amp;"/"&amp;INDEX('2 Measurements'!$F$2:$F$201,MATCH(A118,'2 Measurements'!$A$2:$A$201,0)),'Read me'!$B$10&amp;"/"&amp;IFERROR(IF(INDEX('2 Assets'!$E$2:$E$201,MATCH(INDEX('2 Assets'!$M$2:$M$201,MATCH(INDEX('2 Measurements'!$C$2:$C$201,MATCH(A118,'2 Measurements'!$A$2:$A$201,0)),'2 Assets'!$A$2:$A$201,0)),'2 Assets'!$A$2:$A$201,0))="",INDEX('2 Assets'!$M$2:$M$201,MATCH(INDEX('2 Measurements'!$C$2:$C$201,MATCH(A118,'2 Measurements'!$A$2:$A$201,0)),'2 Assets'!$A$2:$A$201,0)),INDEX('2 Assets'!$E$2:$E$201,MATCH(INDEX('2 Assets'!$M$2:$M$201,MATCH(INDEX('2 Measurements'!$C$2:$C$201,MATCH(A118,'2 Measurements'!$A$2:$A$201,0)),'2 Assets'!$A$2:$A$201,0)),'2 Assets'!$A$2:$A$201,0))),INDEX('2 Assets'!$M$2:$M$201,MATCH(INDEX('2 Measurements'!$C$2:$C$201,MATCH(A118,'2 Measurements'!$A$2:$A$201,0)),'2 Assets'!$A$2:$A$201,0)))&amp;"/"&amp;INDEX('2 Measurements'!$C$2:$C$201,MATCH(A118,'2 Measurements'!$A$2:$A$201,0))&amp;"/"&amp;INDEX('2 Measurements'!$F$2:$F$201,MATCH(A118,'2 Measurements'!$A$2:$A$201,0))),""))</f>
        <v/>
      </c>
      <c r="E118" s="10" t="str">
        <f aca="false">IF(A118="","",IF(SUMPRODUCT(--EXACT('2 Measurements'!$A$2:$A$201,A118))=0,"Not on the Measurements sheet",IF(SUMPRODUCT(--EXACT($A$2:$A$201,A118))&gt;1,"Listed twice",IF(D118="","Topic could not be built: check the asset and the measurement",IF(COUNTIF($D$2:$D$201,D118)&gt;1,"Topic used twice","ok")))))</f>
        <v/>
      </c>
    </row>
    <row r="119" customFormat="false" ht="15" hidden="false" customHeight="false" outlineLevel="0" collapsed="false">
      <c r="A119" s="9"/>
      <c r="B119" s="9"/>
      <c r="C119" s="9"/>
      <c r="D119" s="10" t="str">
        <f aca="false">IF(A119="","",IFERROR(IF(INDEX('2 Measurements'!$B$2:$B$201,MATCH(A119,'2 Measurements'!$A$2:$A$201,0))="Measurement",'Read me'!$B$9&amp;"/"&amp;INDEX('2 Assets'!$F$2:$F$201,MATCH(INDEX('2 Measurements'!$C$2:$C$201,MATCH(A119,'2 Measurements'!$A$2:$A$201,0)),'2 Assets'!$A$2:$A$201,0))&amp;"/"&amp;INDEX('2 Measurements'!$F$2:$F$201,MATCH(A119,'2 Measurements'!$A$2:$A$201,0)),'Read me'!$B$10&amp;"/"&amp;IFERROR(IF(INDEX('2 Assets'!$E$2:$E$201,MATCH(INDEX('2 Assets'!$M$2:$M$201,MATCH(INDEX('2 Measurements'!$C$2:$C$201,MATCH(A119,'2 Measurements'!$A$2:$A$201,0)),'2 Assets'!$A$2:$A$201,0)),'2 Assets'!$A$2:$A$201,0))="",INDEX('2 Assets'!$M$2:$M$201,MATCH(INDEX('2 Measurements'!$C$2:$C$201,MATCH(A119,'2 Measurements'!$A$2:$A$201,0)),'2 Assets'!$A$2:$A$201,0)),INDEX('2 Assets'!$E$2:$E$201,MATCH(INDEX('2 Assets'!$M$2:$M$201,MATCH(INDEX('2 Measurements'!$C$2:$C$201,MATCH(A119,'2 Measurements'!$A$2:$A$201,0)),'2 Assets'!$A$2:$A$201,0)),'2 Assets'!$A$2:$A$201,0))),INDEX('2 Assets'!$M$2:$M$201,MATCH(INDEX('2 Measurements'!$C$2:$C$201,MATCH(A119,'2 Measurements'!$A$2:$A$201,0)),'2 Assets'!$A$2:$A$201,0)))&amp;"/"&amp;INDEX('2 Measurements'!$C$2:$C$201,MATCH(A119,'2 Measurements'!$A$2:$A$201,0))&amp;"/"&amp;INDEX('2 Measurements'!$F$2:$F$201,MATCH(A119,'2 Measurements'!$A$2:$A$201,0))),""))</f>
        <v/>
      </c>
      <c r="E119" s="10" t="str">
        <f aca="false">IF(A119="","",IF(SUMPRODUCT(--EXACT('2 Measurements'!$A$2:$A$201,A119))=0,"Not on the Measurements sheet",IF(SUMPRODUCT(--EXACT($A$2:$A$201,A119))&gt;1,"Listed twice",IF(D119="","Topic could not be built: check the asset and the measurement",IF(COUNTIF($D$2:$D$201,D119)&gt;1,"Topic used twice","ok")))))</f>
        <v/>
      </c>
    </row>
    <row r="120" customFormat="false" ht="15" hidden="false" customHeight="false" outlineLevel="0" collapsed="false">
      <c r="A120" s="9"/>
      <c r="B120" s="9"/>
      <c r="C120" s="9"/>
      <c r="D120" s="10" t="str">
        <f aca="false">IF(A120="","",IFERROR(IF(INDEX('2 Measurements'!$B$2:$B$201,MATCH(A120,'2 Measurements'!$A$2:$A$201,0))="Measurement",'Read me'!$B$9&amp;"/"&amp;INDEX('2 Assets'!$F$2:$F$201,MATCH(INDEX('2 Measurements'!$C$2:$C$201,MATCH(A120,'2 Measurements'!$A$2:$A$201,0)),'2 Assets'!$A$2:$A$201,0))&amp;"/"&amp;INDEX('2 Measurements'!$F$2:$F$201,MATCH(A120,'2 Measurements'!$A$2:$A$201,0)),'Read me'!$B$10&amp;"/"&amp;IFERROR(IF(INDEX('2 Assets'!$E$2:$E$201,MATCH(INDEX('2 Assets'!$M$2:$M$201,MATCH(INDEX('2 Measurements'!$C$2:$C$201,MATCH(A120,'2 Measurements'!$A$2:$A$201,0)),'2 Assets'!$A$2:$A$201,0)),'2 Assets'!$A$2:$A$201,0))="",INDEX('2 Assets'!$M$2:$M$201,MATCH(INDEX('2 Measurements'!$C$2:$C$201,MATCH(A120,'2 Measurements'!$A$2:$A$201,0)),'2 Assets'!$A$2:$A$201,0)),INDEX('2 Assets'!$E$2:$E$201,MATCH(INDEX('2 Assets'!$M$2:$M$201,MATCH(INDEX('2 Measurements'!$C$2:$C$201,MATCH(A120,'2 Measurements'!$A$2:$A$201,0)),'2 Assets'!$A$2:$A$201,0)),'2 Assets'!$A$2:$A$201,0))),INDEX('2 Assets'!$M$2:$M$201,MATCH(INDEX('2 Measurements'!$C$2:$C$201,MATCH(A120,'2 Measurements'!$A$2:$A$201,0)),'2 Assets'!$A$2:$A$201,0)))&amp;"/"&amp;INDEX('2 Measurements'!$C$2:$C$201,MATCH(A120,'2 Measurements'!$A$2:$A$201,0))&amp;"/"&amp;INDEX('2 Measurements'!$F$2:$F$201,MATCH(A120,'2 Measurements'!$A$2:$A$201,0))),""))</f>
        <v/>
      </c>
      <c r="E120" s="10" t="str">
        <f aca="false">IF(A120="","",IF(SUMPRODUCT(--EXACT('2 Measurements'!$A$2:$A$201,A120))=0,"Not on the Measurements sheet",IF(SUMPRODUCT(--EXACT($A$2:$A$201,A120))&gt;1,"Listed twice",IF(D120="","Topic could not be built: check the asset and the measurement",IF(COUNTIF($D$2:$D$201,D120)&gt;1,"Topic used twice","ok")))))</f>
        <v/>
      </c>
    </row>
    <row r="121" customFormat="false" ht="15" hidden="false" customHeight="false" outlineLevel="0" collapsed="false">
      <c r="A121" s="9"/>
      <c r="B121" s="9"/>
      <c r="C121" s="9"/>
      <c r="D121" s="10" t="str">
        <f aca="false">IF(A121="","",IFERROR(IF(INDEX('2 Measurements'!$B$2:$B$201,MATCH(A121,'2 Measurements'!$A$2:$A$201,0))="Measurement",'Read me'!$B$9&amp;"/"&amp;INDEX('2 Assets'!$F$2:$F$201,MATCH(INDEX('2 Measurements'!$C$2:$C$201,MATCH(A121,'2 Measurements'!$A$2:$A$201,0)),'2 Assets'!$A$2:$A$201,0))&amp;"/"&amp;INDEX('2 Measurements'!$F$2:$F$201,MATCH(A121,'2 Measurements'!$A$2:$A$201,0)),'Read me'!$B$10&amp;"/"&amp;IFERROR(IF(INDEX('2 Assets'!$E$2:$E$201,MATCH(INDEX('2 Assets'!$M$2:$M$201,MATCH(INDEX('2 Measurements'!$C$2:$C$201,MATCH(A121,'2 Measurements'!$A$2:$A$201,0)),'2 Assets'!$A$2:$A$201,0)),'2 Assets'!$A$2:$A$201,0))="",INDEX('2 Assets'!$M$2:$M$201,MATCH(INDEX('2 Measurements'!$C$2:$C$201,MATCH(A121,'2 Measurements'!$A$2:$A$201,0)),'2 Assets'!$A$2:$A$201,0)),INDEX('2 Assets'!$E$2:$E$201,MATCH(INDEX('2 Assets'!$M$2:$M$201,MATCH(INDEX('2 Measurements'!$C$2:$C$201,MATCH(A121,'2 Measurements'!$A$2:$A$201,0)),'2 Assets'!$A$2:$A$201,0)),'2 Assets'!$A$2:$A$201,0))),INDEX('2 Assets'!$M$2:$M$201,MATCH(INDEX('2 Measurements'!$C$2:$C$201,MATCH(A121,'2 Measurements'!$A$2:$A$201,0)),'2 Assets'!$A$2:$A$201,0)))&amp;"/"&amp;INDEX('2 Measurements'!$C$2:$C$201,MATCH(A121,'2 Measurements'!$A$2:$A$201,0))&amp;"/"&amp;INDEX('2 Measurements'!$F$2:$F$201,MATCH(A121,'2 Measurements'!$A$2:$A$201,0))),""))</f>
        <v/>
      </c>
      <c r="E121" s="10" t="str">
        <f aca="false">IF(A121="","",IF(SUMPRODUCT(--EXACT('2 Measurements'!$A$2:$A$201,A121))=0,"Not on the Measurements sheet",IF(SUMPRODUCT(--EXACT($A$2:$A$201,A121))&gt;1,"Listed twice",IF(D121="","Topic could not be built: check the asset and the measurement",IF(COUNTIF($D$2:$D$201,D121)&gt;1,"Topic used twice","ok")))))</f>
        <v/>
      </c>
    </row>
    <row r="122" customFormat="false" ht="15" hidden="false" customHeight="false" outlineLevel="0" collapsed="false">
      <c r="A122" s="9"/>
      <c r="B122" s="9"/>
      <c r="C122" s="9"/>
      <c r="D122" s="10" t="str">
        <f aca="false">IF(A122="","",IFERROR(IF(INDEX('2 Measurements'!$B$2:$B$201,MATCH(A122,'2 Measurements'!$A$2:$A$201,0))="Measurement",'Read me'!$B$9&amp;"/"&amp;INDEX('2 Assets'!$F$2:$F$201,MATCH(INDEX('2 Measurements'!$C$2:$C$201,MATCH(A122,'2 Measurements'!$A$2:$A$201,0)),'2 Assets'!$A$2:$A$201,0))&amp;"/"&amp;INDEX('2 Measurements'!$F$2:$F$201,MATCH(A122,'2 Measurements'!$A$2:$A$201,0)),'Read me'!$B$10&amp;"/"&amp;IFERROR(IF(INDEX('2 Assets'!$E$2:$E$201,MATCH(INDEX('2 Assets'!$M$2:$M$201,MATCH(INDEX('2 Measurements'!$C$2:$C$201,MATCH(A122,'2 Measurements'!$A$2:$A$201,0)),'2 Assets'!$A$2:$A$201,0)),'2 Assets'!$A$2:$A$201,0))="",INDEX('2 Assets'!$M$2:$M$201,MATCH(INDEX('2 Measurements'!$C$2:$C$201,MATCH(A122,'2 Measurements'!$A$2:$A$201,0)),'2 Assets'!$A$2:$A$201,0)),INDEX('2 Assets'!$E$2:$E$201,MATCH(INDEX('2 Assets'!$M$2:$M$201,MATCH(INDEX('2 Measurements'!$C$2:$C$201,MATCH(A122,'2 Measurements'!$A$2:$A$201,0)),'2 Assets'!$A$2:$A$201,0)),'2 Assets'!$A$2:$A$201,0))),INDEX('2 Assets'!$M$2:$M$201,MATCH(INDEX('2 Measurements'!$C$2:$C$201,MATCH(A122,'2 Measurements'!$A$2:$A$201,0)),'2 Assets'!$A$2:$A$201,0)))&amp;"/"&amp;INDEX('2 Measurements'!$C$2:$C$201,MATCH(A122,'2 Measurements'!$A$2:$A$201,0))&amp;"/"&amp;INDEX('2 Measurements'!$F$2:$F$201,MATCH(A122,'2 Measurements'!$A$2:$A$201,0))),""))</f>
        <v/>
      </c>
      <c r="E122" s="10" t="str">
        <f aca="false">IF(A122="","",IF(SUMPRODUCT(--EXACT('2 Measurements'!$A$2:$A$201,A122))=0,"Not on the Measurements sheet",IF(SUMPRODUCT(--EXACT($A$2:$A$201,A122))&gt;1,"Listed twice",IF(D122="","Topic could not be built: check the asset and the measurement",IF(COUNTIF($D$2:$D$201,D122)&gt;1,"Topic used twice","ok")))))</f>
        <v/>
      </c>
    </row>
    <row r="123" customFormat="false" ht="15" hidden="false" customHeight="false" outlineLevel="0" collapsed="false">
      <c r="A123" s="9"/>
      <c r="B123" s="9"/>
      <c r="C123" s="9"/>
      <c r="D123" s="10" t="str">
        <f aca="false">IF(A123="","",IFERROR(IF(INDEX('2 Measurements'!$B$2:$B$201,MATCH(A123,'2 Measurements'!$A$2:$A$201,0))="Measurement",'Read me'!$B$9&amp;"/"&amp;INDEX('2 Assets'!$F$2:$F$201,MATCH(INDEX('2 Measurements'!$C$2:$C$201,MATCH(A123,'2 Measurements'!$A$2:$A$201,0)),'2 Assets'!$A$2:$A$201,0))&amp;"/"&amp;INDEX('2 Measurements'!$F$2:$F$201,MATCH(A123,'2 Measurements'!$A$2:$A$201,0)),'Read me'!$B$10&amp;"/"&amp;IFERROR(IF(INDEX('2 Assets'!$E$2:$E$201,MATCH(INDEX('2 Assets'!$M$2:$M$201,MATCH(INDEX('2 Measurements'!$C$2:$C$201,MATCH(A123,'2 Measurements'!$A$2:$A$201,0)),'2 Assets'!$A$2:$A$201,0)),'2 Assets'!$A$2:$A$201,0))="",INDEX('2 Assets'!$M$2:$M$201,MATCH(INDEX('2 Measurements'!$C$2:$C$201,MATCH(A123,'2 Measurements'!$A$2:$A$201,0)),'2 Assets'!$A$2:$A$201,0)),INDEX('2 Assets'!$E$2:$E$201,MATCH(INDEX('2 Assets'!$M$2:$M$201,MATCH(INDEX('2 Measurements'!$C$2:$C$201,MATCH(A123,'2 Measurements'!$A$2:$A$201,0)),'2 Assets'!$A$2:$A$201,0)),'2 Assets'!$A$2:$A$201,0))),INDEX('2 Assets'!$M$2:$M$201,MATCH(INDEX('2 Measurements'!$C$2:$C$201,MATCH(A123,'2 Measurements'!$A$2:$A$201,0)),'2 Assets'!$A$2:$A$201,0)))&amp;"/"&amp;INDEX('2 Measurements'!$C$2:$C$201,MATCH(A123,'2 Measurements'!$A$2:$A$201,0))&amp;"/"&amp;INDEX('2 Measurements'!$F$2:$F$201,MATCH(A123,'2 Measurements'!$A$2:$A$201,0))),""))</f>
        <v/>
      </c>
      <c r="E123" s="10" t="str">
        <f aca="false">IF(A123="","",IF(SUMPRODUCT(--EXACT('2 Measurements'!$A$2:$A$201,A123))=0,"Not on the Measurements sheet",IF(SUMPRODUCT(--EXACT($A$2:$A$201,A123))&gt;1,"Listed twice",IF(D123="","Topic could not be built: check the asset and the measurement",IF(COUNTIF($D$2:$D$201,D123)&gt;1,"Topic used twice","ok")))))</f>
        <v/>
      </c>
    </row>
    <row r="124" customFormat="false" ht="15" hidden="false" customHeight="false" outlineLevel="0" collapsed="false">
      <c r="A124" s="9"/>
      <c r="B124" s="9"/>
      <c r="C124" s="9"/>
      <c r="D124" s="10" t="str">
        <f aca="false">IF(A124="","",IFERROR(IF(INDEX('2 Measurements'!$B$2:$B$201,MATCH(A124,'2 Measurements'!$A$2:$A$201,0))="Measurement",'Read me'!$B$9&amp;"/"&amp;INDEX('2 Assets'!$F$2:$F$201,MATCH(INDEX('2 Measurements'!$C$2:$C$201,MATCH(A124,'2 Measurements'!$A$2:$A$201,0)),'2 Assets'!$A$2:$A$201,0))&amp;"/"&amp;INDEX('2 Measurements'!$F$2:$F$201,MATCH(A124,'2 Measurements'!$A$2:$A$201,0)),'Read me'!$B$10&amp;"/"&amp;IFERROR(IF(INDEX('2 Assets'!$E$2:$E$201,MATCH(INDEX('2 Assets'!$M$2:$M$201,MATCH(INDEX('2 Measurements'!$C$2:$C$201,MATCH(A124,'2 Measurements'!$A$2:$A$201,0)),'2 Assets'!$A$2:$A$201,0)),'2 Assets'!$A$2:$A$201,0))="",INDEX('2 Assets'!$M$2:$M$201,MATCH(INDEX('2 Measurements'!$C$2:$C$201,MATCH(A124,'2 Measurements'!$A$2:$A$201,0)),'2 Assets'!$A$2:$A$201,0)),INDEX('2 Assets'!$E$2:$E$201,MATCH(INDEX('2 Assets'!$M$2:$M$201,MATCH(INDEX('2 Measurements'!$C$2:$C$201,MATCH(A124,'2 Measurements'!$A$2:$A$201,0)),'2 Assets'!$A$2:$A$201,0)),'2 Assets'!$A$2:$A$201,0))),INDEX('2 Assets'!$M$2:$M$201,MATCH(INDEX('2 Measurements'!$C$2:$C$201,MATCH(A124,'2 Measurements'!$A$2:$A$201,0)),'2 Assets'!$A$2:$A$201,0)))&amp;"/"&amp;INDEX('2 Measurements'!$C$2:$C$201,MATCH(A124,'2 Measurements'!$A$2:$A$201,0))&amp;"/"&amp;INDEX('2 Measurements'!$F$2:$F$201,MATCH(A124,'2 Measurements'!$A$2:$A$201,0))),""))</f>
        <v/>
      </c>
      <c r="E124" s="10" t="str">
        <f aca="false">IF(A124="","",IF(SUMPRODUCT(--EXACT('2 Measurements'!$A$2:$A$201,A124))=0,"Not on the Measurements sheet",IF(SUMPRODUCT(--EXACT($A$2:$A$201,A124))&gt;1,"Listed twice",IF(D124="","Topic could not be built: check the asset and the measurement",IF(COUNTIF($D$2:$D$201,D124)&gt;1,"Topic used twice","ok")))))</f>
        <v/>
      </c>
    </row>
    <row r="125" customFormat="false" ht="15" hidden="false" customHeight="false" outlineLevel="0" collapsed="false">
      <c r="A125" s="9"/>
      <c r="B125" s="9"/>
      <c r="C125" s="9"/>
      <c r="D125" s="10" t="str">
        <f aca="false">IF(A125="","",IFERROR(IF(INDEX('2 Measurements'!$B$2:$B$201,MATCH(A125,'2 Measurements'!$A$2:$A$201,0))="Measurement",'Read me'!$B$9&amp;"/"&amp;INDEX('2 Assets'!$F$2:$F$201,MATCH(INDEX('2 Measurements'!$C$2:$C$201,MATCH(A125,'2 Measurements'!$A$2:$A$201,0)),'2 Assets'!$A$2:$A$201,0))&amp;"/"&amp;INDEX('2 Measurements'!$F$2:$F$201,MATCH(A125,'2 Measurements'!$A$2:$A$201,0)),'Read me'!$B$10&amp;"/"&amp;IFERROR(IF(INDEX('2 Assets'!$E$2:$E$201,MATCH(INDEX('2 Assets'!$M$2:$M$201,MATCH(INDEX('2 Measurements'!$C$2:$C$201,MATCH(A125,'2 Measurements'!$A$2:$A$201,0)),'2 Assets'!$A$2:$A$201,0)),'2 Assets'!$A$2:$A$201,0))="",INDEX('2 Assets'!$M$2:$M$201,MATCH(INDEX('2 Measurements'!$C$2:$C$201,MATCH(A125,'2 Measurements'!$A$2:$A$201,0)),'2 Assets'!$A$2:$A$201,0)),INDEX('2 Assets'!$E$2:$E$201,MATCH(INDEX('2 Assets'!$M$2:$M$201,MATCH(INDEX('2 Measurements'!$C$2:$C$201,MATCH(A125,'2 Measurements'!$A$2:$A$201,0)),'2 Assets'!$A$2:$A$201,0)),'2 Assets'!$A$2:$A$201,0))),INDEX('2 Assets'!$M$2:$M$201,MATCH(INDEX('2 Measurements'!$C$2:$C$201,MATCH(A125,'2 Measurements'!$A$2:$A$201,0)),'2 Assets'!$A$2:$A$201,0)))&amp;"/"&amp;INDEX('2 Measurements'!$C$2:$C$201,MATCH(A125,'2 Measurements'!$A$2:$A$201,0))&amp;"/"&amp;INDEX('2 Measurements'!$F$2:$F$201,MATCH(A125,'2 Measurements'!$A$2:$A$201,0))),""))</f>
        <v/>
      </c>
      <c r="E125" s="10" t="str">
        <f aca="false">IF(A125="","",IF(SUMPRODUCT(--EXACT('2 Measurements'!$A$2:$A$201,A125))=0,"Not on the Measurements sheet",IF(SUMPRODUCT(--EXACT($A$2:$A$201,A125))&gt;1,"Listed twice",IF(D125="","Topic could not be built: check the asset and the measurement",IF(COUNTIF($D$2:$D$201,D125)&gt;1,"Topic used twice","ok")))))</f>
        <v/>
      </c>
    </row>
    <row r="126" customFormat="false" ht="15" hidden="false" customHeight="false" outlineLevel="0" collapsed="false">
      <c r="A126" s="9"/>
      <c r="B126" s="9"/>
      <c r="C126" s="9"/>
      <c r="D126" s="10" t="str">
        <f aca="false">IF(A126="","",IFERROR(IF(INDEX('2 Measurements'!$B$2:$B$201,MATCH(A126,'2 Measurements'!$A$2:$A$201,0))="Measurement",'Read me'!$B$9&amp;"/"&amp;INDEX('2 Assets'!$F$2:$F$201,MATCH(INDEX('2 Measurements'!$C$2:$C$201,MATCH(A126,'2 Measurements'!$A$2:$A$201,0)),'2 Assets'!$A$2:$A$201,0))&amp;"/"&amp;INDEX('2 Measurements'!$F$2:$F$201,MATCH(A126,'2 Measurements'!$A$2:$A$201,0)),'Read me'!$B$10&amp;"/"&amp;IFERROR(IF(INDEX('2 Assets'!$E$2:$E$201,MATCH(INDEX('2 Assets'!$M$2:$M$201,MATCH(INDEX('2 Measurements'!$C$2:$C$201,MATCH(A126,'2 Measurements'!$A$2:$A$201,0)),'2 Assets'!$A$2:$A$201,0)),'2 Assets'!$A$2:$A$201,0))="",INDEX('2 Assets'!$M$2:$M$201,MATCH(INDEX('2 Measurements'!$C$2:$C$201,MATCH(A126,'2 Measurements'!$A$2:$A$201,0)),'2 Assets'!$A$2:$A$201,0)),INDEX('2 Assets'!$E$2:$E$201,MATCH(INDEX('2 Assets'!$M$2:$M$201,MATCH(INDEX('2 Measurements'!$C$2:$C$201,MATCH(A126,'2 Measurements'!$A$2:$A$201,0)),'2 Assets'!$A$2:$A$201,0)),'2 Assets'!$A$2:$A$201,0))),INDEX('2 Assets'!$M$2:$M$201,MATCH(INDEX('2 Measurements'!$C$2:$C$201,MATCH(A126,'2 Measurements'!$A$2:$A$201,0)),'2 Assets'!$A$2:$A$201,0)))&amp;"/"&amp;INDEX('2 Measurements'!$C$2:$C$201,MATCH(A126,'2 Measurements'!$A$2:$A$201,0))&amp;"/"&amp;INDEX('2 Measurements'!$F$2:$F$201,MATCH(A126,'2 Measurements'!$A$2:$A$201,0))),""))</f>
        <v/>
      </c>
      <c r="E126" s="10" t="str">
        <f aca="false">IF(A126="","",IF(SUMPRODUCT(--EXACT('2 Measurements'!$A$2:$A$201,A126))=0,"Not on the Measurements sheet",IF(SUMPRODUCT(--EXACT($A$2:$A$201,A126))&gt;1,"Listed twice",IF(D126="","Topic could not be built: check the asset and the measurement",IF(COUNTIF($D$2:$D$201,D126)&gt;1,"Topic used twice","ok")))))</f>
        <v/>
      </c>
    </row>
    <row r="127" customFormat="false" ht="15" hidden="false" customHeight="false" outlineLevel="0" collapsed="false">
      <c r="A127" s="9"/>
      <c r="B127" s="9"/>
      <c r="C127" s="9"/>
      <c r="D127" s="10" t="str">
        <f aca="false">IF(A127="","",IFERROR(IF(INDEX('2 Measurements'!$B$2:$B$201,MATCH(A127,'2 Measurements'!$A$2:$A$201,0))="Measurement",'Read me'!$B$9&amp;"/"&amp;INDEX('2 Assets'!$F$2:$F$201,MATCH(INDEX('2 Measurements'!$C$2:$C$201,MATCH(A127,'2 Measurements'!$A$2:$A$201,0)),'2 Assets'!$A$2:$A$201,0))&amp;"/"&amp;INDEX('2 Measurements'!$F$2:$F$201,MATCH(A127,'2 Measurements'!$A$2:$A$201,0)),'Read me'!$B$10&amp;"/"&amp;IFERROR(IF(INDEX('2 Assets'!$E$2:$E$201,MATCH(INDEX('2 Assets'!$M$2:$M$201,MATCH(INDEX('2 Measurements'!$C$2:$C$201,MATCH(A127,'2 Measurements'!$A$2:$A$201,0)),'2 Assets'!$A$2:$A$201,0)),'2 Assets'!$A$2:$A$201,0))="",INDEX('2 Assets'!$M$2:$M$201,MATCH(INDEX('2 Measurements'!$C$2:$C$201,MATCH(A127,'2 Measurements'!$A$2:$A$201,0)),'2 Assets'!$A$2:$A$201,0)),INDEX('2 Assets'!$E$2:$E$201,MATCH(INDEX('2 Assets'!$M$2:$M$201,MATCH(INDEX('2 Measurements'!$C$2:$C$201,MATCH(A127,'2 Measurements'!$A$2:$A$201,0)),'2 Assets'!$A$2:$A$201,0)),'2 Assets'!$A$2:$A$201,0))),INDEX('2 Assets'!$M$2:$M$201,MATCH(INDEX('2 Measurements'!$C$2:$C$201,MATCH(A127,'2 Measurements'!$A$2:$A$201,0)),'2 Assets'!$A$2:$A$201,0)))&amp;"/"&amp;INDEX('2 Measurements'!$C$2:$C$201,MATCH(A127,'2 Measurements'!$A$2:$A$201,0))&amp;"/"&amp;INDEX('2 Measurements'!$F$2:$F$201,MATCH(A127,'2 Measurements'!$A$2:$A$201,0))),""))</f>
        <v/>
      </c>
      <c r="E127" s="10" t="str">
        <f aca="false">IF(A127="","",IF(SUMPRODUCT(--EXACT('2 Measurements'!$A$2:$A$201,A127))=0,"Not on the Measurements sheet",IF(SUMPRODUCT(--EXACT($A$2:$A$201,A127))&gt;1,"Listed twice",IF(D127="","Topic could not be built: check the asset and the measurement",IF(COUNTIF($D$2:$D$201,D127)&gt;1,"Topic used twice","ok")))))</f>
        <v/>
      </c>
    </row>
    <row r="128" customFormat="false" ht="15" hidden="false" customHeight="false" outlineLevel="0" collapsed="false">
      <c r="A128" s="9"/>
      <c r="B128" s="9"/>
      <c r="C128" s="9"/>
      <c r="D128" s="10" t="str">
        <f aca="false">IF(A128="","",IFERROR(IF(INDEX('2 Measurements'!$B$2:$B$201,MATCH(A128,'2 Measurements'!$A$2:$A$201,0))="Measurement",'Read me'!$B$9&amp;"/"&amp;INDEX('2 Assets'!$F$2:$F$201,MATCH(INDEX('2 Measurements'!$C$2:$C$201,MATCH(A128,'2 Measurements'!$A$2:$A$201,0)),'2 Assets'!$A$2:$A$201,0))&amp;"/"&amp;INDEX('2 Measurements'!$F$2:$F$201,MATCH(A128,'2 Measurements'!$A$2:$A$201,0)),'Read me'!$B$10&amp;"/"&amp;IFERROR(IF(INDEX('2 Assets'!$E$2:$E$201,MATCH(INDEX('2 Assets'!$M$2:$M$201,MATCH(INDEX('2 Measurements'!$C$2:$C$201,MATCH(A128,'2 Measurements'!$A$2:$A$201,0)),'2 Assets'!$A$2:$A$201,0)),'2 Assets'!$A$2:$A$201,0))="",INDEX('2 Assets'!$M$2:$M$201,MATCH(INDEX('2 Measurements'!$C$2:$C$201,MATCH(A128,'2 Measurements'!$A$2:$A$201,0)),'2 Assets'!$A$2:$A$201,0)),INDEX('2 Assets'!$E$2:$E$201,MATCH(INDEX('2 Assets'!$M$2:$M$201,MATCH(INDEX('2 Measurements'!$C$2:$C$201,MATCH(A128,'2 Measurements'!$A$2:$A$201,0)),'2 Assets'!$A$2:$A$201,0)),'2 Assets'!$A$2:$A$201,0))),INDEX('2 Assets'!$M$2:$M$201,MATCH(INDEX('2 Measurements'!$C$2:$C$201,MATCH(A128,'2 Measurements'!$A$2:$A$201,0)),'2 Assets'!$A$2:$A$201,0)))&amp;"/"&amp;INDEX('2 Measurements'!$C$2:$C$201,MATCH(A128,'2 Measurements'!$A$2:$A$201,0))&amp;"/"&amp;INDEX('2 Measurements'!$F$2:$F$201,MATCH(A128,'2 Measurements'!$A$2:$A$201,0))),""))</f>
        <v/>
      </c>
      <c r="E128" s="10" t="str">
        <f aca="false">IF(A128="","",IF(SUMPRODUCT(--EXACT('2 Measurements'!$A$2:$A$201,A128))=0,"Not on the Measurements sheet",IF(SUMPRODUCT(--EXACT($A$2:$A$201,A128))&gt;1,"Listed twice",IF(D128="","Topic could not be built: check the asset and the measurement",IF(COUNTIF($D$2:$D$201,D128)&gt;1,"Topic used twice","ok")))))</f>
        <v/>
      </c>
    </row>
    <row r="129" customFormat="false" ht="15" hidden="false" customHeight="false" outlineLevel="0" collapsed="false">
      <c r="A129" s="9"/>
      <c r="B129" s="9"/>
      <c r="C129" s="9"/>
      <c r="D129" s="10" t="str">
        <f aca="false">IF(A129="","",IFERROR(IF(INDEX('2 Measurements'!$B$2:$B$201,MATCH(A129,'2 Measurements'!$A$2:$A$201,0))="Measurement",'Read me'!$B$9&amp;"/"&amp;INDEX('2 Assets'!$F$2:$F$201,MATCH(INDEX('2 Measurements'!$C$2:$C$201,MATCH(A129,'2 Measurements'!$A$2:$A$201,0)),'2 Assets'!$A$2:$A$201,0))&amp;"/"&amp;INDEX('2 Measurements'!$F$2:$F$201,MATCH(A129,'2 Measurements'!$A$2:$A$201,0)),'Read me'!$B$10&amp;"/"&amp;IFERROR(IF(INDEX('2 Assets'!$E$2:$E$201,MATCH(INDEX('2 Assets'!$M$2:$M$201,MATCH(INDEX('2 Measurements'!$C$2:$C$201,MATCH(A129,'2 Measurements'!$A$2:$A$201,0)),'2 Assets'!$A$2:$A$201,0)),'2 Assets'!$A$2:$A$201,0))="",INDEX('2 Assets'!$M$2:$M$201,MATCH(INDEX('2 Measurements'!$C$2:$C$201,MATCH(A129,'2 Measurements'!$A$2:$A$201,0)),'2 Assets'!$A$2:$A$201,0)),INDEX('2 Assets'!$E$2:$E$201,MATCH(INDEX('2 Assets'!$M$2:$M$201,MATCH(INDEX('2 Measurements'!$C$2:$C$201,MATCH(A129,'2 Measurements'!$A$2:$A$201,0)),'2 Assets'!$A$2:$A$201,0)),'2 Assets'!$A$2:$A$201,0))),INDEX('2 Assets'!$M$2:$M$201,MATCH(INDEX('2 Measurements'!$C$2:$C$201,MATCH(A129,'2 Measurements'!$A$2:$A$201,0)),'2 Assets'!$A$2:$A$201,0)))&amp;"/"&amp;INDEX('2 Measurements'!$C$2:$C$201,MATCH(A129,'2 Measurements'!$A$2:$A$201,0))&amp;"/"&amp;INDEX('2 Measurements'!$F$2:$F$201,MATCH(A129,'2 Measurements'!$A$2:$A$201,0))),""))</f>
        <v/>
      </c>
      <c r="E129" s="10" t="str">
        <f aca="false">IF(A129="","",IF(SUMPRODUCT(--EXACT('2 Measurements'!$A$2:$A$201,A129))=0,"Not on the Measurements sheet",IF(SUMPRODUCT(--EXACT($A$2:$A$201,A129))&gt;1,"Listed twice",IF(D129="","Topic could not be built: check the asset and the measurement",IF(COUNTIF($D$2:$D$201,D129)&gt;1,"Topic used twice","ok")))))</f>
        <v/>
      </c>
    </row>
    <row r="130" customFormat="false" ht="15" hidden="false" customHeight="false" outlineLevel="0" collapsed="false">
      <c r="A130" s="9"/>
      <c r="B130" s="9"/>
      <c r="C130" s="9"/>
      <c r="D130" s="10" t="str">
        <f aca="false">IF(A130="","",IFERROR(IF(INDEX('2 Measurements'!$B$2:$B$201,MATCH(A130,'2 Measurements'!$A$2:$A$201,0))="Measurement",'Read me'!$B$9&amp;"/"&amp;INDEX('2 Assets'!$F$2:$F$201,MATCH(INDEX('2 Measurements'!$C$2:$C$201,MATCH(A130,'2 Measurements'!$A$2:$A$201,0)),'2 Assets'!$A$2:$A$201,0))&amp;"/"&amp;INDEX('2 Measurements'!$F$2:$F$201,MATCH(A130,'2 Measurements'!$A$2:$A$201,0)),'Read me'!$B$10&amp;"/"&amp;IFERROR(IF(INDEX('2 Assets'!$E$2:$E$201,MATCH(INDEX('2 Assets'!$M$2:$M$201,MATCH(INDEX('2 Measurements'!$C$2:$C$201,MATCH(A130,'2 Measurements'!$A$2:$A$201,0)),'2 Assets'!$A$2:$A$201,0)),'2 Assets'!$A$2:$A$201,0))="",INDEX('2 Assets'!$M$2:$M$201,MATCH(INDEX('2 Measurements'!$C$2:$C$201,MATCH(A130,'2 Measurements'!$A$2:$A$201,0)),'2 Assets'!$A$2:$A$201,0)),INDEX('2 Assets'!$E$2:$E$201,MATCH(INDEX('2 Assets'!$M$2:$M$201,MATCH(INDEX('2 Measurements'!$C$2:$C$201,MATCH(A130,'2 Measurements'!$A$2:$A$201,0)),'2 Assets'!$A$2:$A$201,0)),'2 Assets'!$A$2:$A$201,0))),INDEX('2 Assets'!$M$2:$M$201,MATCH(INDEX('2 Measurements'!$C$2:$C$201,MATCH(A130,'2 Measurements'!$A$2:$A$201,0)),'2 Assets'!$A$2:$A$201,0)))&amp;"/"&amp;INDEX('2 Measurements'!$C$2:$C$201,MATCH(A130,'2 Measurements'!$A$2:$A$201,0))&amp;"/"&amp;INDEX('2 Measurements'!$F$2:$F$201,MATCH(A130,'2 Measurements'!$A$2:$A$201,0))),""))</f>
        <v/>
      </c>
      <c r="E130" s="10" t="str">
        <f aca="false">IF(A130="","",IF(SUMPRODUCT(--EXACT('2 Measurements'!$A$2:$A$201,A130))=0,"Not on the Measurements sheet",IF(SUMPRODUCT(--EXACT($A$2:$A$201,A130))&gt;1,"Listed twice",IF(D130="","Topic could not be built: check the asset and the measurement",IF(COUNTIF($D$2:$D$201,D130)&gt;1,"Topic used twice","ok")))))</f>
        <v/>
      </c>
    </row>
    <row r="131" customFormat="false" ht="15" hidden="false" customHeight="false" outlineLevel="0" collapsed="false">
      <c r="A131" s="9"/>
      <c r="B131" s="9"/>
      <c r="C131" s="9"/>
      <c r="D131" s="10" t="str">
        <f aca="false">IF(A131="","",IFERROR(IF(INDEX('2 Measurements'!$B$2:$B$201,MATCH(A131,'2 Measurements'!$A$2:$A$201,0))="Measurement",'Read me'!$B$9&amp;"/"&amp;INDEX('2 Assets'!$F$2:$F$201,MATCH(INDEX('2 Measurements'!$C$2:$C$201,MATCH(A131,'2 Measurements'!$A$2:$A$201,0)),'2 Assets'!$A$2:$A$201,0))&amp;"/"&amp;INDEX('2 Measurements'!$F$2:$F$201,MATCH(A131,'2 Measurements'!$A$2:$A$201,0)),'Read me'!$B$10&amp;"/"&amp;IFERROR(IF(INDEX('2 Assets'!$E$2:$E$201,MATCH(INDEX('2 Assets'!$M$2:$M$201,MATCH(INDEX('2 Measurements'!$C$2:$C$201,MATCH(A131,'2 Measurements'!$A$2:$A$201,0)),'2 Assets'!$A$2:$A$201,0)),'2 Assets'!$A$2:$A$201,0))="",INDEX('2 Assets'!$M$2:$M$201,MATCH(INDEX('2 Measurements'!$C$2:$C$201,MATCH(A131,'2 Measurements'!$A$2:$A$201,0)),'2 Assets'!$A$2:$A$201,0)),INDEX('2 Assets'!$E$2:$E$201,MATCH(INDEX('2 Assets'!$M$2:$M$201,MATCH(INDEX('2 Measurements'!$C$2:$C$201,MATCH(A131,'2 Measurements'!$A$2:$A$201,0)),'2 Assets'!$A$2:$A$201,0)),'2 Assets'!$A$2:$A$201,0))),INDEX('2 Assets'!$M$2:$M$201,MATCH(INDEX('2 Measurements'!$C$2:$C$201,MATCH(A131,'2 Measurements'!$A$2:$A$201,0)),'2 Assets'!$A$2:$A$201,0)))&amp;"/"&amp;INDEX('2 Measurements'!$C$2:$C$201,MATCH(A131,'2 Measurements'!$A$2:$A$201,0))&amp;"/"&amp;INDEX('2 Measurements'!$F$2:$F$201,MATCH(A131,'2 Measurements'!$A$2:$A$201,0))),""))</f>
        <v/>
      </c>
      <c r="E131" s="10" t="str">
        <f aca="false">IF(A131="","",IF(SUMPRODUCT(--EXACT('2 Measurements'!$A$2:$A$201,A131))=0,"Not on the Measurements sheet",IF(SUMPRODUCT(--EXACT($A$2:$A$201,A131))&gt;1,"Listed twice",IF(D131="","Topic could not be built: check the asset and the measurement",IF(COUNTIF($D$2:$D$201,D131)&gt;1,"Topic used twice","ok")))))</f>
        <v/>
      </c>
    </row>
    <row r="132" customFormat="false" ht="15" hidden="false" customHeight="false" outlineLevel="0" collapsed="false">
      <c r="A132" s="9"/>
      <c r="B132" s="9"/>
      <c r="C132" s="9"/>
      <c r="D132" s="10" t="str">
        <f aca="false">IF(A132="","",IFERROR(IF(INDEX('2 Measurements'!$B$2:$B$201,MATCH(A132,'2 Measurements'!$A$2:$A$201,0))="Measurement",'Read me'!$B$9&amp;"/"&amp;INDEX('2 Assets'!$F$2:$F$201,MATCH(INDEX('2 Measurements'!$C$2:$C$201,MATCH(A132,'2 Measurements'!$A$2:$A$201,0)),'2 Assets'!$A$2:$A$201,0))&amp;"/"&amp;INDEX('2 Measurements'!$F$2:$F$201,MATCH(A132,'2 Measurements'!$A$2:$A$201,0)),'Read me'!$B$10&amp;"/"&amp;IFERROR(IF(INDEX('2 Assets'!$E$2:$E$201,MATCH(INDEX('2 Assets'!$M$2:$M$201,MATCH(INDEX('2 Measurements'!$C$2:$C$201,MATCH(A132,'2 Measurements'!$A$2:$A$201,0)),'2 Assets'!$A$2:$A$201,0)),'2 Assets'!$A$2:$A$201,0))="",INDEX('2 Assets'!$M$2:$M$201,MATCH(INDEX('2 Measurements'!$C$2:$C$201,MATCH(A132,'2 Measurements'!$A$2:$A$201,0)),'2 Assets'!$A$2:$A$201,0)),INDEX('2 Assets'!$E$2:$E$201,MATCH(INDEX('2 Assets'!$M$2:$M$201,MATCH(INDEX('2 Measurements'!$C$2:$C$201,MATCH(A132,'2 Measurements'!$A$2:$A$201,0)),'2 Assets'!$A$2:$A$201,0)),'2 Assets'!$A$2:$A$201,0))),INDEX('2 Assets'!$M$2:$M$201,MATCH(INDEX('2 Measurements'!$C$2:$C$201,MATCH(A132,'2 Measurements'!$A$2:$A$201,0)),'2 Assets'!$A$2:$A$201,0)))&amp;"/"&amp;INDEX('2 Measurements'!$C$2:$C$201,MATCH(A132,'2 Measurements'!$A$2:$A$201,0))&amp;"/"&amp;INDEX('2 Measurements'!$F$2:$F$201,MATCH(A132,'2 Measurements'!$A$2:$A$201,0))),""))</f>
        <v/>
      </c>
      <c r="E132" s="10" t="str">
        <f aca="false">IF(A132="","",IF(SUMPRODUCT(--EXACT('2 Measurements'!$A$2:$A$201,A132))=0,"Not on the Measurements sheet",IF(SUMPRODUCT(--EXACT($A$2:$A$201,A132))&gt;1,"Listed twice",IF(D132="","Topic could not be built: check the asset and the measurement",IF(COUNTIF($D$2:$D$201,D132)&gt;1,"Topic used twice","ok")))))</f>
        <v/>
      </c>
    </row>
    <row r="133" customFormat="false" ht="15" hidden="false" customHeight="false" outlineLevel="0" collapsed="false">
      <c r="A133" s="9"/>
      <c r="B133" s="9"/>
      <c r="C133" s="9"/>
      <c r="D133" s="10" t="str">
        <f aca="false">IF(A133="","",IFERROR(IF(INDEX('2 Measurements'!$B$2:$B$201,MATCH(A133,'2 Measurements'!$A$2:$A$201,0))="Measurement",'Read me'!$B$9&amp;"/"&amp;INDEX('2 Assets'!$F$2:$F$201,MATCH(INDEX('2 Measurements'!$C$2:$C$201,MATCH(A133,'2 Measurements'!$A$2:$A$201,0)),'2 Assets'!$A$2:$A$201,0))&amp;"/"&amp;INDEX('2 Measurements'!$F$2:$F$201,MATCH(A133,'2 Measurements'!$A$2:$A$201,0)),'Read me'!$B$10&amp;"/"&amp;IFERROR(IF(INDEX('2 Assets'!$E$2:$E$201,MATCH(INDEX('2 Assets'!$M$2:$M$201,MATCH(INDEX('2 Measurements'!$C$2:$C$201,MATCH(A133,'2 Measurements'!$A$2:$A$201,0)),'2 Assets'!$A$2:$A$201,0)),'2 Assets'!$A$2:$A$201,0))="",INDEX('2 Assets'!$M$2:$M$201,MATCH(INDEX('2 Measurements'!$C$2:$C$201,MATCH(A133,'2 Measurements'!$A$2:$A$201,0)),'2 Assets'!$A$2:$A$201,0)),INDEX('2 Assets'!$E$2:$E$201,MATCH(INDEX('2 Assets'!$M$2:$M$201,MATCH(INDEX('2 Measurements'!$C$2:$C$201,MATCH(A133,'2 Measurements'!$A$2:$A$201,0)),'2 Assets'!$A$2:$A$201,0)),'2 Assets'!$A$2:$A$201,0))),INDEX('2 Assets'!$M$2:$M$201,MATCH(INDEX('2 Measurements'!$C$2:$C$201,MATCH(A133,'2 Measurements'!$A$2:$A$201,0)),'2 Assets'!$A$2:$A$201,0)))&amp;"/"&amp;INDEX('2 Measurements'!$C$2:$C$201,MATCH(A133,'2 Measurements'!$A$2:$A$201,0))&amp;"/"&amp;INDEX('2 Measurements'!$F$2:$F$201,MATCH(A133,'2 Measurements'!$A$2:$A$201,0))),""))</f>
        <v/>
      </c>
      <c r="E133" s="10" t="str">
        <f aca="false">IF(A133="","",IF(SUMPRODUCT(--EXACT('2 Measurements'!$A$2:$A$201,A133))=0,"Not on the Measurements sheet",IF(SUMPRODUCT(--EXACT($A$2:$A$201,A133))&gt;1,"Listed twice",IF(D133="","Topic could not be built: check the asset and the measurement",IF(COUNTIF($D$2:$D$201,D133)&gt;1,"Topic used twice","ok")))))</f>
        <v/>
      </c>
    </row>
    <row r="134" customFormat="false" ht="15" hidden="false" customHeight="false" outlineLevel="0" collapsed="false">
      <c r="A134" s="9"/>
      <c r="B134" s="9"/>
      <c r="C134" s="9"/>
      <c r="D134" s="10" t="str">
        <f aca="false">IF(A134="","",IFERROR(IF(INDEX('2 Measurements'!$B$2:$B$201,MATCH(A134,'2 Measurements'!$A$2:$A$201,0))="Measurement",'Read me'!$B$9&amp;"/"&amp;INDEX('2 Assets'!$F$2:$F$201,MATCH(INDEX('2 Measurements'!$C$2:$C$201,MATCH(A134,'2 Measurements'!$A$2:$A$201,0)),'2 Assets'!$A$2:$A$201,0))&amp;"/"&amp;INDEX('2 Measurements'!$F$2:$F$201,MATCH(A134,'2 Measurements'!$A$2:$A$201,0)),'Read me'!$B$10&amp;"/"&amp;IFERROR(IF(INDEX('2 Assets'!$E$2:$E$201,MATCH(INDEX('2 Assets'!$M$2:$M$201,MATCH(INDEX('2 Measurements'!$C$2:$C$201,MATCH(A134,'2 Measurements'!$A$2:$A$201,0)),'2 Assets'!$A$2:$A$201,0)),'2 Assets'!$A$2:$A$201,0))="",INDEX('2 Assets'!$M$2:$M$201,MATCH(INDEX('2 Measurements'!$C$2:$C$201,MATCH(A134,'2 Measurements'!$A$2:$A$201,0)),'2 Assets'!$A$2:$A$201,0)),INDEX('2 Assets'!$E$2:$E$201,MATCH(INDEX('2 Assets'!$M$2:$M$201,MATCH(INDEX('2 Measurements'!$C$2:$C$201,MATCH(A134,'2 Measurements'!$A$2:$A$201,0)),'2 Assets'!$A$2:$A$201,0)),'2 Assets'!$A$2:$A$201,0))),INDEX('2 Assets'!$M$2:$M$201,MATCH(INDEX('2 Measurements'!$C$2:$C$201,MATCH(A134,'2 Measurements'!$A$2:$A$201,0)),'2 Assets'!$A$2:$A$201,0)))&amp;"/"&amp;INDEX('2 Measurements'!$C$2:$C$201,MATCH(A134,'2 Measurements'!$A$2:$A$201,0))&amp;"/"&amp;INDEX('2 Measurements'!$F$2:$F$201,MATCH(A134,'2 Measurements'!$A$2:$A$201,0))),""))</f>
        <v/>
      </c>
      <c r="E134" s="10" t="str">
        <f aca="false">IF(A134="","",IF(SUMPRODUCT(--EXACT('2 Measurements'!$A$2:$A$201,A134))=0,"Not on the Measurements sheet",IF(SUMPRODUCT(--EXACT($A$2:$A$201,A134))&gt;1,"Listed twice",IF(D134="","Topic could not be built: check the asset and the measurement",IF(COUNTIF($D$2:$D$201,D134)&gt;1,"Topic used twice","ok")))))</f>
        <v/>
      </c>
    </row>
    <row r="135" customFormat="false" ht="15" hidden="false" customHeight="false" outlineLevel="0" collapsed="false">
      <c r="A135" s="9"/>
      <c r="B135" s="9"/>
      <c r="C135" s="9"/>
      <c r="D135" s="10" t="str">
        <f aca="false">IF(A135="","",IFERROR(IF(INDEX('2 Measurements'!$B$2:$B$201,MATCH(A135,'2 Measurements'!$A$2:$A$201,0))="Measurement",'Read me'!$B$9&amp;"/"&amp;INDEX('2 Assets'!$F$2:$F$201,MATCH(INDEX('2 Measurements'!$C$2:$C$201,MATCH(A135,'2 Measurements'!$A$2:$A$201,0)),'2 Assets'!$A$2:$A$201,0))&amp;"/"&amp;INDEX('2 Measurements'!$F$2:$F$201,MATCH(A135,'2 Measurements'!$A$2:$A$201,0)),'Read me'!$B$10&amp;"/"&amp;IFERROR(IF(INDEX('2 Assets'!$E$2:$E$201,MATCH(INDEX('2 Assets'!$M$2:$M$201,MATCH(INDEX('2 Measurements'!$C$2:$C$201,MATCH(A135,'2 Measurements'!$A$2:$A$201,0)),'2 Assets'!$A$2:$A$201,0)),'2 Assets'!$A$2:$A$201,0))="",INDEX('2 Assets'!$M$2:$M$201,MATCH(INDEX('2 Measurements'!$C$2:$C$201,MATCH(A135,'2 Measurements'!$A$2:$A$201,0)),'2 Assets'!$A$2:$A$201,0)),INDEX('2 Assets'!$E$2:$E$201,MATCH(INDEX('2 Assets'!$M$2:$M$201,MATCH(INDEX('2 Measurements'!$C$2:$C$201,MATCH(A135,'2 Measurements'!$A$2:$A$201,0)),'2 Assets'!$A$2:$A$201,0)),'2 Assets'!$A$2:$A$201,0))),INDEX('2 Assets'!$M$2:$M$201,MATCH(INDEX('2 Measurements'!$C$2:$C$201,MATCH(A135,'2 Measurements'!$A$2:$A$201,0)),'2 Assets'!$A$2:$A$201,0)))&amp;"/"&amp;INDEX('2 Measurements'!$C$2:$C$201,MATCH(A135,'2 Measurements'!$A$2:$A$201,0))&amp;"/"&amp;INDEX('2 Measurements'!$F$2:$F$201,MATCH(A135,'2 Measurements'!$A$2:$A$201,0))),""))</f>
        <v/>
      </c>
      <c r="E135" s="10" t="str">
        <f aca="false">IF(A135="","",IF(SUMPRODUCT(--EXACT('2 Measurements'!$A$2:$A$201,A135))=0,"Not on the Measurements sheet",IF(SUMPRODUCT(--EXACT($A$2:$A$201,A135))&gt;1,"Listed twice",IF(D135="","Topic could not be built: check the asset and the measurement",IF(COUNTIF($D$2:$D$201,D135)&gt;1,"Topic used twice","ok")))))</f>
        <v/>
      </c>
    </row>
    <row r="136" customFormat="false" ht="15" hidden="false" customHeight="false" outlineLevel="0" collapsed="false">
      <c r="A136" s="9"/>
      <c r="B136" s="9"/>
      <c r="C136" s="9"/>
      <c r="D136" s="10" t="str">
        <f aca="false">IF(A136="","",IFERROR(IF(INDEX('2 Measurements'!$B$2:$B$201,MATCH(A136,'2 Measurements'!$A$2:$A$201,0))="Measurement",'Read me'!$B$9&amp;"/"&amp;INDEX('2 Assets'!$F$2:$F$201,MATCH(INDEX('2 Measurements'!$C$2:$C$201,MATCH(A136,'2 Measurements'!$A$2:$A$201,0)),'2 Assets'!$A$2:$A$201,0))&amp;"/"&amp;INDEX('2 Measurements'!$F$2:$F$201,MATCH(A136,'2 Measurements'!$A$2:$A$201,0)),'Read me'!$B$10&amp;"/"&amp;IFERROR(IF(INDEX('2 Assets'!$E$2:$E$201,MATCH(INDEX('2 Assets'!$M$2:$M$201,MATCH(INDEX('2 Measurements'!$C$2:$C$201,MATCH(A136,'2 Measurements'!$A$2:$A$201,0)),'2 Assets'!$A$2:$A$201,0)),'2 Assets'!$A$2:$A$201,0))="",INDEX('2 Assets'!$M$2:$M$201,MATCH(INDEX('2 Measurements'!$C$2:$C$201,MATCH(A136,'2 Measurements'!$A$2:$A$201,0)),'2 Assets'!$A$2:$A$201,0)),INDEX('2 Assets'!$E$2:$E$201,MATCH(INDEX('2 Assets'!$M$2:$M$201,MATCH(INDEX('2 Measurements'!$C$2:$C$201,MATCH(A136,'2 Measurements'!$A$2:$A$201,0)),'2 Assets'!$A$2:$A$201,0)),'2 Assets'!$A$2:$A$201,0))),INDEX('2 Assets'!$M$2:$M$201,MATCH(INDEX('2 Measurements'!$C$2:$C$201,MATCH(A136,'2 Measurements'!$A$2:$A$201,0)),'2 Assets'!$A$2:$A$201,0)))&amp;"/"&amp;INDEX('2 Measurements'!$C$2:$C$201,MATCH(A136,'2 Measurements'!$A$2:$A$201,0))&amp;"/"&amp;INDEX('2 Measurements'!$F$2:$F$201,MATCH(A136,'2 Measurements'!$A$2:$A$201,0))),""))</f>
        <v/>
      </c>
      <c r="E136" s="10" t="str">
        <f aca="false">IF(A136="","",IF(SUMPRODUCT(--EXACT('2 Measurements'!$A$2:$A$201,A136))=0,"Not on the Measurements sheet",IF(SUMPRODUCT(--EXACT($A$2:$A$201,A136))&gt;1,"Listed twice",IF(D136="","Topic could not be built: check the asset and the measurement",IF(COUNTIF($D$2:$D$201,D136)&gt;1,"Topic used twice","ok")))))</f>
        <v/>
      </c>
    </row>
    <row r="137" customFormat="false" ht="15" hidden="false" customHeight="false" outlineLevel="0" collapsed="false">
      <c r="A137" s="9"/>
      <c r="B137" s="9"/>
      <c r="C137" s="9"/>
      <c r="D137" s="10" t="str">
        <f aca="false">IF(A137="","",IFERROR(IF(INDEX('2 Measurements'!$B$2:$B$201,MATCH(A137,'2 Measurements'!$A$2:$A$201,0))="Measurement",'Read me'!$B$9&amp;"/"&amp;INDEX('2 Assets'!$F$2:$F$201,MATCH(INDEX('2 Measurements'!$C$2:$C$201,MATCH(A137,'2 Measurements'!$A$2:$A$201,0)),'2 Assets'!$A$2:$A$201,0))&amp;"/"&amp;INDEX('2 Measurements'!$F$2:$F$201,MATCH(A137,'2 Measurements'!$A$2:$A$201,0)),'Read me'!$B$10&amp;"/"&amp;IFERROR(IF(INDEX('2 Assets'!$E$2:$E$201,MATCH(INDEX('2 Assets'!$M$2:$M$201,MATCH(INDEX('2 Measurements'!$C$2:$C$201,MATCH(A137,'2 Measurements'!$A$2:$A$201,0)),'2 Assets'!$A$2:$A$201,0)),'2 Assets'!$A$2:$A$201,0))="",INDEX('2 Assets'!$M$2:$M$201,MATCH(INDEX('2 Measurements'!$C$2:$C$201,MATCH(A137,'2 Measurements'!$A$2:$A$201,0)),'2 Assets'!$A$2:$A$201,0)),INDEX('2 Assets'!$E$2:$E$201,MATCH(INDEX('2 Assets'!$M$2:$M$201,MATCH(INDEX('2 Measurements'!$C$2:$C$201,MATCH(A137,'2 Measurements'!$A$2:$A$201,0)),'2 Assets'!$A$2:$A$201,0)),'2 Assets'!$A$2:$A$201,0))),INDEX('2 Assets'!$M$2:$M$201,MATCH(INDEX('2 Measurements'!$C$2:$C$201,MATCH(A137,'2 Measurements'!$A$2:$A$201,0)),'2 Assets'!$A$2:$A$201,0)))&amp;"/"&amp;INDEX('2 Measurements'!$C$2:$C$201,MATCH(A137,'2 Measurements'!$A$2:$A$201,0))&amp;"/"&amp;INDEX('2 Measurements'!$F$2:$F$201,MATCH(A137,'2 Measurements'!$A$2:$A$201,0))),""))</f>
        <v/>
      </c>
      <c r="E137" s="10" t="str">
        <f aca="false">IF(A137="","",IF(SUMPRODUCT(--EXACT('2 Measurements'!$A$2:$A$201,A137))=0,"Not on the Measurements sheet",IF(SUMPRODUCT(--EXACT($A$2:$A$201,A137))&gt;1,"Listed twice",IF(D137="","Topic could not be built: check the asset and the measurement",IF(COUNTIF($D$2:$D$201,D137)&gt;1,"Topic used twice","ok")))))</f>
        <v/>
      </c>
    </row>
    <row r="138" customFormat="false" ht="15" hidden="false" customHeight="false" outlineLevel="0" collapsed="false">
      <c r="A138" s="9"/>
      <c r="B138" s="9"/>
      <c r="C138" s="9"/>
      <c r="D138" s="10" t="str">
        <f aca="false">IF(A138="","",IFERROR(IF(INDEX('2 Measurements'!$B$2:$B$201,MATCH(A138,'2 Measurements'!$A$2:$A$201,0))="Measurement",'Read me'!$B$9&amp;"/"&amp;INDEX('2 Assets'!$F$2:$F$201,MATCH(INDEX('2 Measurements'!$C$2:$C$201,MATCH(A138,'2 Measurements'!$A$2:$A$201,0)),'2 Assets'!$A$2:$A$201,0))&amp;"/"&amp;INDEX('2 Measurements'!$F$2:$F$201,MATCH(A138,'2 Measurements'!$A$2:$A$201,0)),'Read me'!$B$10&amp;"/"&amp;IFERROR(IF(INDEX('2 Assets'!$E$2:$E$201,MATCH(INDEX('2 Assets'!$M$2:$M$201,MATCH(INDEX('2 Measurements'!$C$2:$C$201,MATCH(A138,'2 Measurements'!$A$2:$A$201,0)),'2 Assets'!$A$2:$A$201,0)),'2 Assets'!$A$2:$A$201,0))="",INDEX('2 Assets'!$M$2:$M$201,MATCH(INDEX('2 Measurements'!$C$2:$C$201,MATCH(A138,'2 Measurements'!$A$2:$A$201,0)),'2 Assets'!$A$2:$A$201,0)),INDEX('2 Assets'!$E$2:$E$201,MATCH(INDEX('2 Assets'!$M$2:$M$201,MATCH(INDEX('2 Measurements'!$C$2:$C$201,MATCH(A138,'2 Measurements'!$A$2:$A$201,0)),'2 Assets'!$A$2:$A$201,0)),'2 Assets'!$A$2:$A$201,0))),INDEX('2 Assets'!$M$2:$M$201,MATCH(INDEX('2 Measurements'!$C$2:$C$201,MATCH(A138,'2 Measurements'!$A$2:$A$201,0)),'2 Assets'!$A$2:$A$201,0)))&amp;"/"&amp;INDEX('2 Measurements'!$C$2:$C$201,MATCH(A138,'2 Measurements'!$A$2:$A$201,0))&amp;"/"&amp;INDEX('2 Measurements'!$F$2:$F$201,MATCH(A138,'2 Measurements'!$A$2:$A$201,0))),""))</f>
        <v/>
      </c>
      <c r="E138" s="10" t="str">
        <f aca="false">IF(A138="","",IF(SUMPRODUCT(--EXACT('2 Measurements'!$A$2:$A$201,A138))=0,"Not on the Measurements sheet",IF(SUMPRODUCT(--EXACT($A$2:$A$201,A138))&gt;1,"Listed twice",IF(D138="","Topic could not be built: check the asset and the measurement",IF(COUNTIF($D$2:$D$201,D138)&gt;1,"Topic used twice","ok")))))</f>
        <v/>
      </c>
    </row>
    <row r="139" customFormat="false" ht="15" hidden="false" customHeight="false" outlineLevel="0" collapsed="false">
      <c r="A139" s="9"/>
      <c r="B139" s="9"/>
      <c r="C139" s="9"/>
      <c r="D139" s="10" t="str">
        <f aca="false">IF(A139="","",IFERROR(IF(INDEX('2 Measurements'!$B$2:$B$201,MATCH(A139,'2 Measurements'!$A$2:$A$201,0))="Measurement",'Read me'!$B$9&amp;"/"&amp;INDEX('2 Assets'!$F$2:$F$201,MATCH(INDEX('2 Measurements'!$C$2:$C$201,MATCH(A139,'2 Measurements'!$A$2:$A$201,0)),'2 Assets'!$A$2:$A$201,0))&amp;"/"&amp;INDEX('2 Measurements'!$F$2:$F$201,MATCH(A139,'2 Measurements'!$A$2:$A$201,0)),'Read me'!$B$10&amp;"/"&amp;IFERROR(IF(INDEX('2 Assets'!$E$2:$E$201,MATCH(INDEX('2 Assets'!$M$2:$M$201,MATCH(INDEX('2 Measurements'!$C$2:$C$201,MATCH(A139,'2 Measurements'!$A$2:$A$201,0)),'2 Assets'!$A$2:$A$201,0)),'2 Assets'!$A$2:$A$201,0))="",INDEX('2 Assets'!$M$2:$M$201,MATCH(INDEX('2 Measurements'!$C$2:$C$201,MATCH(A139,'2 Measurements'!$A$2:$A$201,0)),'2 Assets'!$A$2:$A$201,0)),INDEX('2 Assets'!$E$2:$E$201,MATCH(INDEX('2 Assets'!$M$2:$M$201,MATCH(INDEX('2 Measurements'!$C$2:$C$201,MATCH(A139,'2 Measurements'!$A$2:$A$201,0)),'2 Assets'!$A$2:$A$201,0)),'2 Assets'!$A$2:$A$201,0))),INDEX('2 Assets'!$M$2:$M$201,MATCH(INDEX('2 Measurements'!$C$2:$C$201,MATCH(A139,'2 Measurements'!$A$2:$A$201,0)),'2 Assets'!$A$2:$A$201,0)))&amp;"/"&amp;INDEX('2 Measurements'!$C$2:$C$201,MATCH(A139,'2 Measurements'!$A$2:$A$201,0))&amp;"/"&amp;INDEX('2 Measurements'!$F$2:$F$201,MATCH(A139,'2 Measurements'!$A$2:$A$201,0))),""))</f>
        <v/>
      </c>
      <c r="E139" s="10" t="str">
        <f aca="false">IF(A139="","",IF(SUMPRODUCT(--EXACT('2 Measurements'!$A$2:$A$201,A139))=0,"Not on the Measurements sheet",IF(SUMPRODUCT(--EXACT($A$2:$A$201,A139))&gt;1,"Listed twice",IF(D139="","Topic could not be built: check the asset and the measurement",IF(COUNTIF($D$2:$D$201,D139)&gt;1,"Topic used twice","ok")))))</f>
        <v/>
      </c>
    </row>
    <row r="140" customFormat="false" ht="15" hidden="false" customHeight="false" outlineLevel="0" collapsed="false">
      <c r="A140" s="9"/>
      <c r="B140" s="9"/>
      <c r="C140" s="9"/>
      <c r="D140" s="10" t="str">
        <f aca="false">IF(A140="","",IFERROR(IF(INDEX('2 Measurements'!$B$2:$B$201,MATCH(A140,'2 Measurements'!$A$2:$A$201,0))="Measurement",'Read me'!$B$9&amp;"/"&amp;INDEX('2 Assets'!$F$2:$F$201,MATCH(INDEX('2 Measurements'!$C$2:$C$201,MATCH(A140,'2 Measurements'!$A$2:$A$201,0)),'2 Assets'!$A$2:$A$201,0))&amp;"/"&amp;INDEX('2 Measurements'!$F$2:$F$201,MATCH(A140,'2 Measurements'!$A$2:$A$201,0)),'Read me'!$B$10&amp;"/"&amp;IFERROR(IF(INDEX('2 Assets'!$E$2:$E$201,MATCH(INDEX('2 Assets'!$M$2:$M$201,MATCH(INDEX('2 Measurements'!$C$2:$C$201,MATCH(A140,'2 Measurements'!$A$2:$A$201,0)),'2 Assets'!$A$2:$A$201,0)),'2 Assets'!$A$2:$A$201,0))="",INDEX('2 Assets'!$M$2:$M$201,MATCH(INDEX('2 Measurements'!$C$2:$C$201,MATCH(A140,'2 Measurements'!$A$2:$A$201,0)),'2 Assets'!$A$2:$A$201,0)),INDEX('2 Assets'!$E$2:$E$201,MATCH(INDEX('2 Assets'!$M$2:$M$201,MATCH(INDEX('2 Measurements'!$C$2:$C$201,MATCH(A140,'2 Measurements'!$A$2:$A$201,0)),'2 Assets'!$A$2:$A$201,0)),'2 Assets'!$A$2:$A$201,0))),INDEX('2 Assets'!$M$2:$M$201,MATCH(INDEX('2 Measurements'!$C$2:$C$201,MATCH(A140,'2 Measurements'!$A$2:$A$201,0)),'2 Assets'!$A$2:$A$201,0)))&amp;"/"&amp;INDEX('2 Measurements'!$C$2:$C$201,MATCH(A140,'2 Measurements'!$A$2:$A$201,0))&amp;"/"&amp;INDEX('2 Measurements'!$F$2:$F$201,MATCH(A140,'2 Measurements'!$A$2:$A$201,0))),""))</f>
        <v/>
      </c>
      <c r="E140" s="10" t="str">
        <f aca="false">IF(A140="","",IF(SUMPRODUCT(--EXACT('2 Measurements'!$A$2:$A$201,A140))=0,"Not on the Measurements sheet",IF(SUMPRODUCT(--EXACT($A$2:$A$201,A140))&gt;1,"Listed twice",IF(D140="","Topic could not be built: check the asset and the measurement",IF(COUNTIF($D$2:$D$201,D140)&gt;1,"Topic used twice","ok")))))</f>
        <v/>
      </c>
    </row>
    <row r="141" customFormat="false" ht="15" hidden="false" customHeight="false" outlineLevel="0" collapsed="false">
      <c r="A141" s="9"/>
      <c r="B141" s="9"/>
      <c r="C141" s="9"/>
      <c r="D141" s="10" t="str">
        <f aca="false">IF(A141="","",IFERROR(IF(INDEX('2 Measurements'!$B$2:$B$201,MATCH(A141,'2 Measurements'!$A$2:$A$201,0))="Measurement",'Read me'!$B$9&amp;"/"&amp;INDEX('2 Assets'!$F$2:$F$201,MATCH(INDEX('2 Measurements'!$C$2:$C$201,MATCH(A141,'2 Measurements'!$A$2:$A$201,0)),'2 Assets'!$A$2:$A$201,0))&amp;"/"&amp;INDEX('2 Measurements'!$F$2:$F$201,MATCH(A141,'2 Measurements'!$A$2:$A$201,0)),'Read me'!$B$10&amp;"/"&amp;IFERROR(IF(INDEX('2 Assets'!$E$2:$E$201,MATCH(INDEX('2 Assets'!$M$2:$M$201,MATCH(INDEX('2 Measurements'!$C$2:$C$201,MATCH(A141,'2 Measurements'!$A$2:$A$201,0)),'2 Assets'!$A$2:$A$201,0)),'2 Assets'!$A$2:$A$201,0))="",INDEX('2 Assets'!$M$2:$M$201,MATCH(INDEX('2 Measurements'!$C$2:$C$201,MATCH(A141,'2 Measurements'!$A$2:$A$201,0)),'2 Assets'!$A$2:$A$201,0)),INDEX('2 Assets'!$E$2:$E$201,MATCH(INDEX('2 Assets'!$M$2:$M$201,MATCH(INDEX('2 Measurements'!$C$2:$C$201,MATCH(A141,'2 Measurements'!$A$2:$A$201,0)),'2 Assets'!$A$2:$A$201,0)),'2 Assets'!$A$2:$A$201,0))),INDEX('2 Assets'!$M$2:$M$201,MATCH(INDEX('2 Measurements'!$C$2:$C$201,MATCH(A141,'2 Measurements'!$A$2:$A$201,0)),'2 Assets'!$A$2:$A$201,0)))&amp;"/"&amp;INDEX('2 Measurements'!$C$2:$C$201,MATCH(A141,'2 Measurements'!$A$2:$A$201,0))&amp;"/"&amp;INDEX('2 Measurements'!$F$2:$F$201,MATCH(A141,'2 Measurements'!$A$2:$A$201,0))),""))</f>
        <v/>
      </c>
      <c r="E141" s="10" t="str">
        <f aca="false">IF(A141="","",IF(SUMPRODUCT(--EXACT('2 Measurements'!$A$2:$A$201,A141))=0,"Not on the Measurements sheet",IF(SUMPRODUCT(--EXACT($A$2:$A$201,A141))&gt;1,"Listed twice",IF(D141="","Topic could not be built: check the asset and the measurement",IF(COUNTIF($D$2:$D$201,D141)&gt;1,"Topic used twice","ok")))))</f>
        <v/>
      </c>
    </row>
    <row r="142" customFormat="false" ht="15" hidden="false" customHeight="false" outlineLevel="0" collapsed="false">
      <c r="A142" s="9"/>
      <c r="B142" s="9"/>
      <c r="C142" s="9"/>
      <c r="D142" s="10" t="str">
        <f aca="false">IF(A142="","",IFERROR(IF(INDEX('2 Measurements'!$B$2:$B$201,MATCH(A142,'2 Measurements'!$A$2:$A$201,0))="Measurement",'Read me'!$B$9&amp;"/"&amp;INDEX('2 Assets'!$F$2:$F$201,MATCH(INDEX('2 Measurements'!$C$2:$C$201,MATCH(A142,'2 Measurements'!$A$2:$A$201,0)),'2 Assets'!$A$2:$A$201,0))&amp;"/"&amp;INDEX('2 Measurements'!$F$2:$F$201,MATCH(A142,'2 Measurements'!$A$2:$A$201,0)),'Read me'!$B$10&amp;"/"&amp;IFERROR(IF(INDEX('2 Assets'!$E$2:$E$201,MATCH(INDEX('2 Assets'!$M$2:$M$201,MATCH(INDEX('2 Measurements'!$C$2:$C$201,MATCH(A142,'2 Measurements'!$A$2:$A$201,0)),'2 Assets'!$A$2:$A$201,0)),'2 Assets'!$A$2:$A$201,0))="",INDEX('2 Assets'!$M$2:$M$201,MATCH(INDEX('2 Measurements'!$C$2:$C$201,MATCH(A142,'2 Measurements'!$A$2:$A$201,0)),'2 Assets'!$A$2:$A$201,0)),INDEX('2 Assets'!$E$2:$E$201,MATCH(INDEX('2 Assets'!$M$2:$M$201,MATCH(INDEX('2 Measurements'!$C$2:$C$201,MATCH(A142,'2 Measurements'!$A$2:$A$201,0)),'2 Assets'!$A$2:$A$201,0)),'2 Assets'!$A$2:$A$201,0))),INDEX('2 Assets'!$M$2:$M$201,MATCH(INDEX('2 Measurements'!$C$2:$C$201,MATCH(A142,'2 Measurements'!$A$2:$A$201,0)),'2 Assets'!$A$2:$A$201,0)))&amp;"/"&amp;INDEX('2 Measurements'!$C$2:$C$201,MATCH(A142,'2 Measurements'!$A$2:$A$201,0))&amp;"/"&amp;INDEX('2 Measurements'!$F$2:$F$201,MATCH(A142,'2 Measurements'!$A$2:$A$201,0))),""))</f>
        <v/>
      </c>
      <c r="E142" s="10" t="str">
        <f aca="false">IF(A142="","",IF(SUMPRODUCT(--EXACT('2 Measurements'!$A$2:$A$201,A142))=0,"Not on the Measurements sheet",IF(SUMPRODUCT(--EXACT($A$2:$A$201,A142))&gt;1,"Listed twice",IF(D142="","Topic could not be built: check the asset and the measurement",IF(COUNTIF($D$2:$D$201,D142)&gt;1,"Topic used twice","ok")))))</f>
        <v/>
      </c>
    </row>
    <row r="143" customFormat="false" ht="15" hidden="false" customHeight="false" outlineLevel="0" collapsed="false">
      <c r="A143" s="9"/>
      <c r="B143" s="9"/>
      <c r="C143" s="9"/>
      <c r="D143" s="10" t="str">
        <f aca="false">IF(A143="","",IFERROR(IF(INDEX('2 Measurements'!$B$2:$B$201,MATCH(A143,'2 Measurements'!$A$2:$A$201,0))="Measurement",'Read me'!$B$9&amp;"/"&amp;INDEX('2 Assets'!$F$2:$F$201,MATCH(INDEX('2 Measurements'!$C$2:$C$201,MATCH(A143,'2 Measurements'!$A$2:$A$201,0)),'2 Assets'!$A$2:$A$201,0))&amp;"/"&amp;INDEX('2 Measurements'!$F$2:$F$201,MATCH(A143,'2 Measurements'!$A$2:$A$201,0)),'Read me'!$B$10&amp;"/"&amp;IFERROR(IF(INDEX('2 Assets'!$E$2:$E$201,MATCH(INDEX('2 Assets'!$M$2:$M$201,MATCH(INDEX('2 Measurements'!$C$2:$C$201,MATCH(A143,'2 Measurements'!$A$2:$A$201,0)),'2 Assets'!$A$2:$A$201,0)),'2 Assets'!$A$2:$A$201,0))="",INDEX('2 Assets'!$M$2:$M$201,MATCH(INDEX('2 Measurements'!$C$2:$C$201,MATCH(A143,'2 Measurements'!$A$2:$A$201,0)),'2 Assets'!$A$2:$A$201,0)),INDEX('2 Assets'!$E$2:$E$201,MATCH(INDEX('2 Assets'!$M$2:$M$201,MATCH(INDEX('2 Measurements'!$C$2:$C$201,MATCH(A143,'2 Measurements'!$A$2:$A$201,0)),'2 Assets'!$A$2:$A$201,0)),'2 Assets'!$A$2:$A$201,0))),INDEX('2 Assets'!$M$2:$M$201,MATCH(INDEX('2 Measurements'!$C$2:$C$201,MATCH(A143,'2 Measurements'!$A$2:$A$201,0)),'2 Assets'!$A$2:$A$201,0)))&amp;"/"&amp;INDEX('2 Measurements'!$C$2:$C$201,MATCH(A143,'2 Measurements'!$A$2:$A$201,0))&amp;"/"&amp;INDEX('2 Measurements'!$F$2:$F$201,MATCH(A143,'2 Measurements'!$A$2:$A$201,0))),""))</f>
        <v/>
      </c>
      <c r="E143" s="10" t="str">
        <f aca="false">IF(A143="","",IF(SUMPRODUCT(--EXACT('2 Measurements'!$A$2:$A$201,A143))=0,"Not on the Measurements sheet",IF(SUMPRODUCT(--EXACT($A$2:$A$201,A143))&gt;1,"Listed twice",IF(D143="","Topic could not be built: check the asset and the measurement",IF(COUNTIF($D$2:$D$201,D143)&gt;1,"Topic used twice","ok")))))</f>
        <v/>
      </c>
    </row>
    <row r="144" customFormat="false" ht="15" hidden="false" customHeight="false" outlineLevel="0" collapsed="false">
      <c r="A144" s="9"/>
      <c r="B144" s="9"/>
      <c r="C144" s="9"/>
      <c r="D144" s="10" t="str">
        <f aca="false">IF(A144="","",IFERROR(IF(INDEX('2 Measurements'!$B$2:$B$201,MATCH(A144,'2 Measurements'!$A$2:$A$201,0))="Measurement",'Read me'!$B$9&amp;"/"&amp;INDEX('2 Assets'!$F$2:$F$201,MATCH(INDEX('2 Measurements'!$C$2:$C$201,MATCH(A144,'2 Measurements'!$A$2:$A$201,0)),'2 Assets'!$A$2:$A$201,0))&amp;"/"&amp;INDEX('2 Measurements'!$F$2:$F$201,MATCH(A144,'2 Measurements'!$A$2:$A$201,0)),'Read me'!$B$10&amp;"/"&amp;IFERROR(IF(INDEX('2 Assets'!$E$2:$E$201,MATCH(INDEX('2 Assets'!$M$2:$M$201,MATCH(INDEX('2 Measurements'!$C$2:$C$201,MATCH(A144,'2 Measurements'!$A$2:$A$201,0)),'2 Assets'!$A$2:$A$201,0)),'2 Assets'!$A$2:$A$201,0))="",INDEX('2 Assets'!$M$2:$M$201,MATCH(INDEX('2 Measurements'!$C$2:$C$201,MATCH(A144,'2 Measurements'!$A$2:$A$201,0)),'2 Assets'!$A$2:$A$201,0)),INDEX('2 Assets'!$E$2:$E$201,MATCH(INDEX('2 Assets'!$M$2:$M$201,MATCH(INDEX('2 Measurements'!$C$2:$C$201,MATCH(A144,'2 Measurements'!$A$2:$A$201,0)),'2 Assets'!$A$2:$A$201,0)),'2 Assets'!$A$2:$A$201,0))),INDEX('2 Assets'!$M$2:$M$201,MATCH(INDEX('2 Measurements'!$C$2:$C$201,MATCH(A144,'2 Measurements'!$A$2:$A$201,0)),'2 Assets'!$A$2:$A$201,0)))&amp;"/"&amp;INDEX('2 Measurements'!$C$2:$C$201,MATCH(A144,'2 Measurements'!$A$2:$A$201,0))&amp;"/"&amp;INDEX('2 Measurements'!$F$2:$F$201,MATCH(A144,'2 Measurements'!$A$2:$A$201,0))),""))</f>
        <v/>
      </c>
      <c r="E144" s="10" t="str">
        <f aca="false">IF(A144="","",IF(SUMPRODUCT(--EXACT('2 Measurements'!$A$2:$A$201,A144))=0,"Not on the Measurements sheet",IF(SUMPRODUCT(--EXACT($A$2:$A$201,A144))&gt;1,"Listed twice",IF(D144="","Topic could not be built: check the asset and the measurement",IF(COUNTIF($D$2:$D$201,D144)&gt;1,"Topic used twice","ok")))))</f>
        <v/>
      </c>
    </row>
    <row r="145" customFormat="false" ht="15" hidden="false" customHeight="false" outlineLevel="0" collapsed="false">
      <c r="A145" s="9"/>
      <c r="B145" s="9"/>
      <c r="C145" s="9"/>
      <c r="D145" s="10" t="str">
        <f aca="false">IF(A145="","",IFERROR(IF(INDEX('2 Measurements'!$B$2:$B$201,MATCH(A145,'2 Measurements'!$A$2:$A$201,0))="Measurement",'Read me'!$B$9&amp;"/"&amp;INDEX('2 Assets'!$F$2:$F$201,MATCH(INDEX('2 Measurements'!$C$2:$C$201,MATCH(A145,'2 Measurements'!$A$2:$A$201,0)),'2 Assets'!$A$2:$A$201,0))&amp;"/"&amp;INDEX('2 Measurements'!$F$2:$F$201,MATCH(A145,'2 Measurements'!$A$2:$A$201,0)),'Read me'!$B$10&amp;"/"&amp;IFERROR(IF(INDEX('2 Assets'!$E$2:$E$201,MATCH(INDEX('2 Assets'!$M$2:$M$201,MATCH(INDEX('2 Measurements'!$C$2:$C$201,MATCH(A145,'2 Measurements'!$A$2:$A$201,0)),'2 Assets'!$A$2:$A$201,0)),'2 Assets'!$A$2:$A$201,0))="",INDEX('2 Assets'!$M$2:$M$201,MATCH(INDEX('2 Measurements'!$C$2:$C$201,MATCH(A145,'2 Measurements'!$A$2:$A$201,0)),'2 Assets'!$A$2:$A$201,0)),INDEX('2 Assets'!$E$2:$E$201,MATCH(INDEX('2 Assets'!$M$2:$M$201,MATCH(INDEX('2 Measurements'!$C$2:$C$201,MATCH(A145,'2 Measurements'!$A$2:$A$201,0)),'2 Assets'!$A$2:$A$201,0)),'2 Assets'!$A$2:$A$201,0))),INDEX('2 Assets'!$M$2:$M$201,MATCH(INDEX('2 Measurements'!$C$2:$C$201,MATCH(A145,'2 Measurements'!$A$2:$A$201,0)),'2 Assets'!$A$2:$A$201,0)))&amp;"/"&amp;INDEX('2 Measurements'!$C$2:$C$201,MATCH(A145,'2 Measurements'!$A$2:$A$201,0))&amp;"/"&amp;INDEX('2 Measurements'!$F$2:$F$201,MATCH(A145,'2 Measurements'!$A$2:$A$201,0))),""))</f>
        <v/>
      </c>
      <c r="E145" s="10" t="str">
        <f aca="false">IF(A145="","",IF(SUMPRODUCT(--EXACT('2 Measurements'!$A$2:$A$201,A145))=0,"Not on the Measurements sheet",IF(SUMPRODUCT(--EXACT($A$2:$A$201,A145))&gt;1,"Listed twice",IF(D145="","Topic could not be built: check the asset and the measurement",IF(COUNTIF($D$2:$D$201,D145)&gt;1,"Topic used twice","ok")))))</f>
        <v/>
      </c>
    </row>
    <row r="146" customFormat="false" ht="15" hidden="false" customHeight="false" outlineLevel="0" collapsed="false">
      <c r="A146" s="9"/>
      <c r="B146" s="9"/>
      <c r="C146" s="9"/>
      <c r="D146" s="10" t="str">
        <f aca="false">IF(A146="","",IFERROR(IF(INDEX('2 Measurements'!$B$2:$B$201,MATCH(A146,'2 Measurements'!$A$2:$A$201,0))="Measurement",'Read me'!$B$9&amp;"/"&amp;INDEX('2 Assets'!$F$2:$F$201,MATCH(INDEX('2 Measurements'!$C$2:$C$201,MATCH(A146,'2 Measurements'!$A$2:$A$201,0)),'2 Assets'!$A$2:$A$201,0))&amp;"/"&amp;INDEX('2 Measurements'!$F$2:$F$201,MATCH(A146,'2 Measurements'!$A$2:$A$201,0)),'Read me'!$B$10&amp;"/"&amp;IFERROR(IF(INDEX('2 Assets'!$E$2:$E$201,MATCH(INDEX('2 Assets'!$M$2:$M$201,MATCH(INDEX('2 Measurements'!$C$2:$C$201,MATCH(A146,'2 Measurements'!$A$2:$A$201,0)),'2 Assets'!$A$2:$A$201,0)),'2 Assets'!$A$2:$A$201,0))="",INDEX('2 Assets'!$M$2:$M$201,MATCH(INDEX('2 Measurements'!$C$2:$C$201,MATCH(A146,'2 Measurements'!$A$2:$A$201,0)),'2 Assets'!$A$2:$A$201,0)),INDEX('2 Assets'!$E$2:$E$201,MATCH(INDEX('2 Assets'!$M$2:$M$201,MATCH(INDEX('2 Measurements'!$C$2:$C$201,MATCH(A146,'2 Measurements'!$A$2:$A$201,0)),'2 Assets'!$A$2:$A$201,0)),'2 Assets'!$A$2:$A$201,0))),INDEX('2 Assets'!$M$2:$M$201,MATCH(INDEX('2 Measurements'!$C$2:$C$201,MATCH(A146,'2 Measurements'!$A$2:$A$201,0)),'2 Assets'!$A$2:$A$201,0)))&amp;"/"&amp;INDEX('2 Measurements'!$C$2:$C$201,MATCH(A146,'2 Measurements'!$A$2:$A$201,0))&amp;"/"&amp;INDEX('2 Measurements'!$F$2:$F$201,MATCH(A146,'2 Measurements'!$A$2:$A$201,0))),""))</f>
        <v/>
      </c>
      <c r="E146" s="10" t="str">
        <f aca="false">IF(A146="","",IF(SUMPRODUCT(--EXACT('2 Measurements'!$A$2:$A$201,A146))=0,"Not on the Measurements sheet",IF(SUMPRODUCT(--EXACT($A$2:$A$201,A146))&gt;1,"Listed twice",IF(D146="","Topic could not be built: check the asset and the measurement",IF(COUNTIF($D$2:$D$201,D146)&gt;1,"Topic used twice","ok")))))</f>
        <v/>
      </c>
    </row>
    <row r="147" customFormat="false" ht="15" hidden="false" customHeight="false" outlineLevel="0" collapsed="false">
      <c r="A147" s="9"/>
      <c r="B147" s="9"/>
      <c r="C147" s="9"/>
      <c r="D147" s="10" t="str">
        <f aca="false">IF(A147="","",IFERROR(IF(INDEX('2 Measurements'!$B$2:$B$201,MATCH(A147,'2 Measurements'!$A$2:$A$201,0))="Measurement",'Read me'!$B$9&amp;"/"&amp;INDEX('2 Assets'!$F$2:$F$201,MATCH(INDEX('2 Measurements'!$C$2:$C$201,MATCH(A147,'2 Measurements'!$A$2:$A$201,0)),'2 Assets'!$A$2:$A$201,0))&amp;"/"&amp;INDEX('2 Measurements'!$F$2:$F$201,MATCH(A147,'2 Measurements'!$A$2:$A$201,0)),'Read me'!$B$10&amp;"/"&amp;IFERROR(IF(INDEX('2 Assets'!$E$2:$E$201,MATCH(INDEX('2 Assets'!$M$2:$M$201,MATCH(INDEX('2 Measurements'!$C$2:$C$201,MATCH(A147,'2 Measurements'!$A$2:$A$201,0)),'2 Assets'!$A$2:$A$201,0)),'2 Assets'!$A$2:$A$201,0))="",INDEX('2 Assets'!$M$2:$M$201,MATCH(INDEX('2 Measurements'!$C$2:$C$201,MATCH(A147,'2 Measurements'!$A$2:$A$201,0)),'2 Assets'!$A$2:$A$201,0)),INDEX('2 Assets'!$E$2:$E$201,MATCH(INDEX('2 Assets'!$M$2:$M$201,MATCH(INDEX('2 Measurements'!$C$2:$C$201,MATCH(A147,'2 Measurements'!$A$2:$A$201,0)),'2 Assets'!$A$2:$A$201,0)),'2 Assets'!$A$2:$A$201,0))),INDEX('2 Assets'!$M$2:$M$201,MATCH(INDEX('2 Measurements'!$C$2:$C$201,MATCH(A147,'2 Measurements'!$A$2:$A$201,0)),'2 Assets'!$A$2:$A$201,0)))&amp;"/"&amp;INDEX('2 Measurements'!$C$2:$C$201,MATCH(A147,'2 Measurements'!$A$2:$A$201,0))&amp;"/"&amp;INDEX('2 Measurements'!$F$2:$F$201,MATCH(A147,'2 Measurements'!$A$2:$A$201,0))),""))</f>
        <v/>
      </c>
      <c r="E147" s="10" t="str">
        <f aca="false">IF(A147="","",IF(SUMPRODUCT(--EXACT('2 Measurements'!$A$2:$A$201,A147))=0,"Not on the Measurements sheet",IF(SUMPRODUCT(--EXACT($A$2:$A$201,A147))&gt;1,"Listed twice",IF(D147="","Topic could not be built: check the asset and the measurement",IF(COUNTIF($D$2:$D$201,D147)&gt;1,"Topic used twice","ok")))))</f>
        <v/>
      </c>
    </row>
    <row r="148" customFormat="false" ht="15" hidden="false" customHeight="false" outlineLevel="0" collapsed="false">
      <c r="A148" s="9"/>
      <c r="B148" s="9"/>
      <c r="C148" s="9"/>
      <c r="D148" s="10" t="str">
        <f aca="false">IF(A148="","",IFERROR(IF(INDEX('2 Measurements'!$B$2:$B$201,MATCH(A148,'2 Measurements'!$A$2:$A$201,0))="Measurement",'Read me'!$B$9&amp;"/"&amp;INDEX('2 Assets'!$F$2:$F$201,MATCH(INDEX('2 Measurements'!$C$2:$C$201,MATCH(A148,'2 Measurements'!$A$2:$A$201,0)),'2 Assets'!$A$2:$A$201,0))&amp;"/"&amp;INDEX('2 Measurements'!$F$2:$F$201,MATCH(A148,'2 Measurements'!$A$2:$A$201,0)),'Read me'!$B$10&amp;"/"&amp;IFERROR(IF(INDEX('2 Assets'!$E$2:$E$201,MATCH(INDEX('2 Assets'!$M$2:$M$201,MATCH(INDEX('2 Measurements'!$C$2:$C$201,MATCH(A148,'2 Measurements'!$A$2:$A$201,0)),'2 Assets'!$A$2:$A$201,0)),'2 Assets'!$A$2:$A$201,0))="",INDEX('2 Assets'!$M$2:$M$201,MATCH(INDEX('2 Measurements'!$C$2:$C$201,MATCH(A148,'2 Measurements'!$A$2:$A$201,0)),'2 Assets'!$A$2:$A$201,0)),INDEX('2 Assets'!$E$2:$E$201,MATCH(INDEX('2 Assets'!$M$2:$M$201,MATCH(INDEX('2 Measurements'!$C$2:$C$201,MATCH(A148,'2 Measurements'!$A$2:$A$201,0)),'2 Assets'!$A$2:$A$201,0)),'2 Assets'!$A$2:$A$201,0))),INDEX('2 Assets'!$M$2:$M$201,MATCH(INDEX('2 Measurements'!$C$2:$C$201,MATCH(A148,'2 Measurements'!$A$2:$A$201,0)),'2 Assets'!$A$2:$A$201,0)))&amp;"/"&amp;INDEX('2 Measurements'!$C$2:$C$201,MATCH(A148,'2 Measurements'!$A$2:$A$201,0))&amp;"/"&amp;INDEX('2 Measurements'!$F$2:$F$201,MATCH(A148,'2 Measurements'!$A$2:$A$201,0))),""))</f>
        <v/>
      </c>
      <c r="E148" s="10" t="str">
        <f aca="false">IF(A148="","",IF(SUMPRODUCT(--EXACT('2 Measurements'!$A$2:$A$201,A148))=0,"Not on the Measurements sheet",IF(SUMPRODUCT(--EXACT($A$2:$A$201,A148))&gt;1,"Listed twice",IF(D148="","Topic could not be built: check the asset and the measurement",IF(COUNTIF($D$2:$D$201,D148)&gt;1,"Topic used twice","ok")))))</f>
        <v/>
      </c>
    </row>
    <row r="149" customFormat="false" ht="15" hidden="false" customHeight="false" outlineLevel="0" collapsed="false">
      <c r="A149" s="9"/>
      <c r="B149" s="9"/>
      <c r="C149" s="9"/>
      <c r="D149" s="10" t="str">
        <f aca="false">IF(A149="","",IFERROR(IF(INDEX('2 Measurements'!$B$2:$B$201,MATCH(A149,'2 Measurements'!$A$2:$A$201,0))="Measurement",'Read me'!$B$9&amp;"/"&amp;INDEX('2 Assets'!$F$2:$F$201,MATCH(INDEX('2 Measurements'!$C$2:$C$201,MATCH(A149,'2 Measurements'!$A$2:$A$201,0)),'2 Assets'!$A$2:$A$201,0))&amp;"/"&amp;INDEX('2 Measurements'!$F$2:$F$201,MATCH(A149,'2 Measurements'!$A$2:$A$201,0)),'Read me'!$B$10&amp;"/"&amp;IFERROR(IF(INDEX('2 Assets'!$E$2:$E$201,MATCH(INDEX('2 Assets'!$M$2:$M$201,MATCH(INDEX('2 Measurements'!$C$2:$C$201,MATCH(A149,'2 Measurements'!$A$2:$A$201,0)),'2 Assets'!$A$2:$A$201,0)),'2 Assets'!$A$2:$A$201,0))="",INDEX('2 Assets'!$M$2:$M$201,MATCH(INDEX('2 Measurements'!$C$2:$C$201,MATCH(A149,'2 Measurements'!$A$2:$A$201,0)),'2 Assets'!$A$2:$A$201,0)),INDEX('2 Assets'!$E$2:$E$201,MATCH(INDEX('2 Assets'!$M$2:$M$201,MATCH(INDEX('2 Measurements'!$C$2:$C$201,MATCH(A149,'2 Measurements'!$A$2:$A$201,0)),'2 Assets'!$A$2:$A$201,0)),'2 Assets'!$A$2:$A$201,0))),INDEX('2 Assets'!$M$2:$M$201,MATCH(INDEX('2 Measurements'!$C$2:$C$201,MATCH(A149,'2 Measurements'!$A$2:$A$201,0)),'2 Assets'!$A$2:$A$201,0)))&amp;"/"&amp;INDEX('2 Measurements'!$C$2:$C$201,MATCH(A149,'2 Measurements'!$A$2:$A$201,0))&amp;"/"&amp;INDEX('2 Measurements'!$F$2:$F$201,MATCH(A149,'2 Measurements'!$A$2:$A$201,0))),""))</f>
        <v/>
      </c>
      <c r="E149" s="10" t="str">
        <f aca="false">IF(A149="","",IF(SUMPRODUCT(--EXACT('2 Measurements'!$A$2:$A$201,A149))=0,"Not on the Measurements sheet",IF(SUMPRODUCT(--EXACT($A$2:$A$201,A149))&gt;1,"Listed twice",IF(D149="","Topic could not be built: check the asset and the measurement",IF(COUNTIF($D$2:$D$201,D149)&gt;1,"Topic used twice","ok")))))</f>
        <v/>
      </c>
    </row>
    <row r="150" customFormat="false" ht="15" hidden="false" customHeight="false" outlineLevel="0" collapsed="false">
      <c r="A150" s="9"/>
      <c r="B150" s="9"/>
      <c r="C150" s="9"/>
      <c r="D150" s="10" t="str">
        <f aca="false">IF(A150="","",IFERROR(IF(INDEX('2 Measurements'!$B$2:$B$201,MATCH(A150,'2 Measurements'!$A$2:$A$201,0))="Measurement",'Read me'!$B$9&amp;"/"&amp;INDEX('2 Assets'!$F$2:$F$201,MATCH(INDEX('2 Measurements'!$C$2:$C$201,MATCH(A150,'2 Measurements'!$A$2:$A$201,0)),'2 Assets'!$A$2:$A$201,0))&amp;"/"&amp;INDEX('2 Measurements'!$F$2:$F$201,MATCH(A150,'2 Measurements'!$A$2:$A$201,0)),'Read me'!$B$10&amp;"/"&amp;IFERROR(IF(INDEX('2 Assets'!$E$2:$E$201,MATCH(INDEX('2 Assets'!$M$2:$M$201,MATCH(INDEX('2 Measurements'!$C$2:$C$201,MATCH(A150,'2 Measurements'!$A$2:$A$201,0)),'2 Assets'!$A$2:$A$201,0)),'2 Assets'!$A$2:$A$201,0))="",INDEX('2 Assets'!$M$2:$M$201,MATCH(INDEX('2 Measurements'!$C$2:$C$201,MATCH(A150,'2 Measurements'!$A$2:$A$201,0)),'2 Assets'!$A$2:$A$201,0)),INDEX('2 Assets'!$E$2:$E$201,MATCH(INDEX('2 Assets'!$M$2:$M$201,MATCH(INDEX('2 Measurements'!$C$2:$C$201,MATCH(A150,'2 Measurements'!$A$2:$A$201,0)),'2 Assets'!$A$2:$A$201,0)),'2 Assets'!$A$2:$A$201,0))),INDEX('2 Assets'!$M$2:$M$201,MATCH(INDEX('2 Measurements'!$C$2:$C$201,MATCH(A150,'2 Measurements'!$A$2:$A$201,0)),'2 Assets'!$A$2:$A$201,0)))&amp;"/"&amp;INDEX('2 Measurements'!$C$2:$C$201,MATCH(A150,'2 Measurements'!$A$2:$A$201,0))&amp;"/"&amp;INDEX('2 Measurements'!$F$2:$F$201,MATCH(A150,'2 Measurements'!$A$2:$A$201,0))),""))</f>
        <v/>
      </c>
      <c r="E150" s="10" t="str">
        <f aca="false">IF(A150="","",IF(SUMPRODUCT(--EXACT('2 Measurements'!$A$2:$A$201,A150))=0,"Not on the Measurements sheet",IF(SUMPRODUCT(--EXACT($A$2:$A$201,A150))&gt;1,"Listed twice",IF(D150="","Topic could not be built: check the asset and the measurement",IF(COUNTIF($D$2:$D$201,D150)&gt;1,"Topic used twice","ok")))))</f>
        <v/>
      </c>
    </row>
    <row r="151" customFormat="false" ht="15" hidden="false" customHeight="false" outlineLevel="0" collapsed="false">
      <c r="A151" s="9"/>
      <c r="B151" s="9"/>
      <c r="C151" s="9"/>
      <c r="D151" s="10" t="str">
        <f aca="false">IF(A151="","",IFERROR(IF(INDEX('2 Measurements'!$B$2:$B$201,MATCH(A151,'2 Measurements'!$A$2:$A$201,0))="Measurement",'Read me'!$B$9&amp;"/"&amp;INDEX('2 Assets'!$F$2:$F$201,MATCH(INDEX('2 Measurements'!$C$2:$C$201,MATCH(A151,'2 Measurements'!$A$2:$A$201,0)),'2 Assets'!$A$2:$A$201,0))&amp;"/"&amp;INDEX('2 Measurements'!$F$2:$F$201,MATCH(A151,'2 Measurements'!$A$2:$A$201,0)),'Read me'!$B$10&amp;"/"&amp;IFERROR(IF(INDEX('2 Assets'!$E$2:$E$201,MATCH(INDEX('2 Assets'!$M$2:$M$201,MATCH(INDEX('2 Measurements'!$C$2:$C$201,MATCH(A151,'2 Measurements'!$A$2:$A$201,0)),'2 Assets'!$A$2:$A$201,0)),'2 Assets'!$A$2:$A$201,0))="",INDEX('2 Assets'!$M$2:$M$201,MATCH(INDEX('2 Measurements'!$C$2:$C$201,MATCH(A151,'2 Measurements'!$A$2:$A$201,0)),'2 Assets'!$A$2:$A$201,0)),INDEX('2 Assets'!$E$2:$E$201,MATCH(INDEX('2 Assets'!$M$2:$M$201,MATCH(INDEX('2 Measurements'!$C$2:$C$201,MATCH(A151,'2 Measurements'!$A$2:$A$201,0)),'2 Assets'!$A$2:$A$201,0)),'2 Assets'!$A$2:$A$201,0))),INDEX('2 Assets'!$M$2:$M$201,MATCH(INDEX('2 Measurements'!$C$2:$C$201,MATCH(A151,'2 Measurements'!$A$2:$A$201,0)),'2 Assets'!$A$2:$A$201,0)))&amp;"/"&amp;INDEX('2 Measurements'!$C$2:$C$201,MATCH(A151,'2 Measurements'!$A$2:$A$201,0))&amp;"/"&amp;INDEX('2 Measurements'!$F$2:$F$201,MATCH(A151,'2 Measurements'!$A$2:$A$201,0))),""))</f>
        <v/>
      </c>
      <c r="E151" s="10" t="str">
        <f aca="false">IF(A151="","",IF(SUMPRODUCT(--EXACT('2 Measurements'!$A$2:$A$201,A151))=0,"Not on the Measurements sheet",IF(SUMPRODUCT(--EXACT($A$2:$A$201,A151))&gt;1,"Listed twice",IF(D151="","Topic could not be built: check the asset and the measurement",IF(COUNTIF($D$2:$D$201,D151)&gt;1,"Topic used twice","ok")))))</f>
        <v/>
      </c>
    </row>
    <row r="152" customFormat="false" ht="15" hidden="false" customHeight="false" outlineLevel="0" collapsed="false">
      <c r="A152" s="9"/>
      <c r="B152" s="9"/>
      <c r="C152" s="9"/>
      <c r="D152" s="10" t="str">
        <f aca="false">IF(A152="","",IFERROR(IF(INDEX('2 Measurements'!$B$2:$B$201,MATCH(A152,'2 Measurements'!$A$2:$A$201,0))="Measurement",'Read me'!$B$9&amp;"/"&amp;INDEX('2 Assets'!$F$2:$F$201,MATCH(INDEX('2 Measurements'!$C$2:$C$201,MATCH(A152,'2 Measurements'!$A$2:$A$201,0)),'2 Assets'!$A$2:$A$201,0))&amp;"/"&amp;INDEX('2 Measurements'!$F$2:$F$201,MATCH(A152,'2 Measurements'!$A$2:$A$201,0)),'Read me'!$B$10&amp;"/"&amp;IFERROR(IF(INDEX('2 Assets'!$E$2:$E$201,MATCH(INDEX('2 Assets'!$M$2:$M$201,MATCH(INDEX('2 Measurements'!$C$2:$C$201,MATCH(A152,'2 Measurements'!$A$2:$A$201,0)),'2 Assets'!$A$2:$A$201,0)),'2 Assets'!$A$2:$A$201,0))="",INDEX('2 Assets'!$M$2:$M$201,MATCH(INDEX('2 Measurements'!$C$2:$C$201,MATCH(A152,'2 Measurements'!$A$2:$A$201,0)),'2 Assets'!$A$2:$A$201,0)),INDEX('2 Assets'!$E$2:$E$201,MATCH(INDEX('2 Assets'!$M$2:$M$201,MATCH(INDEX('2 Measurements'!$C$2:$C$201,MATCH(A152,'2 Measurements'!$A$2:$A$201,0)),'2 Assets'!$A$2:$A$201,0)),'2 Assets'!$A$2:$A$201,0))),INDEX('2 Assets'!$M$2:$M$201,MATCH(INDEX('2 Measurements'!$C$2:$C$201,MATCH(A152,'2 Measurements'!$A$2:$A$201,0)),'2 Assets'!$A$2:$A$201,0)))&amp;"/"&amp;INDEX('2 Measurements'!$C$2:$C$201,MATCH(A152,'2 Measurements'!$A$2:$A$201,0))&amp;"/"&amp;INDEX('2 Measurements'!$F$2:$F$201,MATCH(A152,'2 Measurements'!$A$2:$A$201,0))),""))</f>
        <v/>
      </c>
      <c r="E152" s="10" t="str">
        <f aca="false">IF(A152="","",IF(SUMPRODUCT(--EXACT('2 Measurements'!$A$2:$A$201,A152))=0,"Not on the Measurements sheet",IF(SUMPRODUCT(--EXACT($A$2:$A$201,A152))&gt;1,"Listed twice",IF(D152="","Topic could not be built: check the asset and the measurement",IF(COUNTIF($D$2:$D$201,D152)&gt;1,"Topic used twice","ok")))))</f>
        <v/>
      </c>
    </row>
    <row r="153" customFormat="false" ht="15" hidden="false" customHeight="false" outlineLevel="0" collapsed="false">
      <c r="A153" s="9"/>
      <c r="B153" s="9"/>
      <c r="C153" s="9"/>
      <c r="D153" s="10" t="str">
        <f aca="false">IF(A153="","",IFERROR(IF(INDEX('2 Measurements'!$B$2:$B$201,MATCH(A153,'2 Measurements'!$A$2:$A$201,0))="Measurement",'Read me'!$B$9&amp;"/"&amp;INDEX('2 Assets'!$F$2:$F$201,MATCH(INDEX('2 Measurements'!$C$2:$C$201,MATCH(A153,'2 Measurements'!$A$2:$A$201,0)),'2 Assets'!$A$2:$A$201,0))&amp;"/"&amp;INDEX('2 Measurements'!$F$2:$F$201,MATCH(A153,'2 Measurements'!$A$2:$A$201,0)),'Read me'!$B$10&amp;"/"&amp;IFERROR(IF(INDEX('2 Assets'!$E$2:$E$201,MATCH(INDEX('2 Assets'!$M$2:$M$201,MATCH(INDEX('2 Measurements'!$C$2:$C$201,MATCH(A153,'2 Measurements'!$A$2:$A$201,0)),'2 Assets'!$A$2:$A$201,0)),'2 Assets'!$A$2:$A$201,0))="",INDEX('2 Assets'!$M$2:$M$201,MATCH(INDEX('2 Measurements'!$C$2:$C$201,MATCH(A153,'2 Measurements'!$A$2:$A$201,0)),'2 Assets'!$A$2:$A$201,0)),INDEX('2 Assets'!$E$2:$E$201,MATCH(INDEX('2 Assets'!$M$2:$M$201,MATCH(INDEX('2 Measurements'!$C$2:$C$201,MATCH(A153,'2 Measurements'!$A$2:$A$201,0)),'2 Assets'!$A$2:$A$201,0)),'2 Assets'!$A$2:$A$201,0))),INDEX('2 Assets'!$M$2:$M$201,MATCH(INDEX('2 Measurements'!$C$2:$C$201,MATCH(A153,'2 Measurements'!$A$2:$A$201,0)),'2 Assets'!$A$2:$A$201,0)))&amp;"/"&amp;INDEX('2 Measurements'!$C$2:$C$201,MATCH(A153,'2 Measurements'!$A$2:$A$201,0))&amp;"/"&amp;INDEX('2 Measurements'!$F$2:$F$201,MATCH(A153,'2 Measurements'!$A$2:$A$201,0))),""))</f>
        <v/>
      </c>
      <c r="E153" s="10" t="str">
        <f aca="false">IF(A153="","",IF(SUMPRODUCT(--EXACT('2 Measurements'!$A$2:$A$201,A153))=0,"Not on the Measurements sheet",IF(SUMPRODUCT(--EXACT($A$2:$A$201,A153))&gt;1,"Listed twice",IF(D153="","Topic could not be built: check the asset and the measurement",IF(COUNTIF($D$2:$D$201,D153)&gt;1,"Topic used twice","ok")))))</f>
        <v/>
      </c>
    </row>
    <row r="154" customFormat="false" ht="15" hidden="false" customHeight="false" outlineLevel="0" collapsed="false">
      <c r="A154" s="9"/>
      <c r="B154" s="9"/>
      <c r="C154" s="9"/>
      <c r="D154" s="10" t="str">
        <f aca="false">IF(A154="","",IFERROR(IF(INDEX('2 Measurements'!$B$2:$B$201,MATCH(A154,'2 Measurements'!$A$2:$A$201,0))="Measurement",'Read me'!$B$9&amp;"/"&amp;INDEX('2 Assets'!$F$2:$F$201,MATCH(INDEX('2 Measurements'!$C$2:$C$201,MATCH(A154,'2 Measurements'!$A$2:$A$201,0)),'2 Assets'!$A$2:$A$201,0))&amp;"/"&amp;INDEX('2 Measurements'!$F$2:$F$201,MATCH(A154,'2 Measurements'!$A$2:$A$201,0)),'Read me'!$B$10&amp;"/"&amp;IFERROR(IF(INDEX('2 Assets'!$E$2:$E$201,MATCH(INDEX('2 Assets'!$M$2:$M$201,MATCH(INDEX('2 Measurements'!$C$2:$C$201,MATCH(A154,'2 Measurements'!$A$2:$A$201,0)),'2 Assets'!$A$2:$A$201,0)),'2 Assets'!$A$2:$A$201,0))="",INDEX('2 Assets'!$M$2:$M$201,MATCH(INDEX('2 Measurements'!$C$2:$C$201,MATCH(A154,'2 Measurements'!$A$2:$A$201,0)),'2 Assets'!$A$2:$A$201,0)),INDEX('2 Assets'!$E$2:$E$201,MATCH(INDEX('2 Assets'!$M$2:$M$201,MATCH(INDEX('2 Measurements'!$C$2:$C$201,MATCH(A154,'2 Measurements'!$A$2:$A$201,0)),'2 Assets'!$A$2:$A$201,0)),'2 Assets'!$A$2:$A$201,0))),INDEX('2 Assets'!$M$2:$M$201,MATCH(INDEX('2 Measurements'!$C$2:$C$201,MATCH(A154,'2 Measurements'!$A$2:$A$201,0)),'2 Assets'!$A$2:$A$201,0)))&amp;"/"&amp;INDEX('2 Measurements'!$C$2:$C$201,MATCH(A154,'2 Measurements'!$A$2:$A$201,0))&amp;"/"&amp;INDEX('2 Measurements'!$F$2:$F$201,MATCH(A154,'2 Measurements'!$A$2:$A$201,0))),""))</f>
        <v/>
      </c>
      <c r="E154" s="10" t="str">
        <f aca="false">IF(A154="","",IF(SUMPRODUCT(--EXACT('2 Measurements'!$A$2:$A$201,A154))=0,"Not on the Measurements sheet",IF(SUMPRODUCT(--EXACT($A$2:$A$201,A154))&gt;1,"Listed twice",IF(D154="","Topic could not be built: check the asset and the measurement",IF(COUNTIF($D$2:$D$201,D154)&gt;1,"Topic used twice","ok")))))</f>
        <v/>
      </c>
    </row>
    <row r="155" customFormat="false" ht="15" hidden="false" customHeight="false" outlineLevel="0" collapsed="false">
      <c r="A155" s="9"/>
      <c r="B155" s="9"/>
      <c r="C155" s="9"/>
      <c r="D155" s="10" t="str">
        <f aca="false">IF(A155="","",IFERROR(IF(INDEX('2 Measurements'!$B$2:$B$201,MATCH(A155,'2 Measurements'!$A$2:$A$201,0))="Measurement",'Read me'!$B$9&amp;"/"&amp;INDEX('2 Assets'!$F$2:$F$201,MATCH(INDEX('2 Measurements'!$C$2:$C$201,MATCH(A155,'2 Measurements'!$A$2:$A$201,0)),'2 Assets'!$A$2:$A$201,0))&amp;"/"&amp;INDEX('2 Measurements'!$F$2:$F$201,MATCH(A155,'2 Measurements'!$A$2:$A$201,0)),'Read me'!$B$10&amp;"/"&amp;IFERROR(IF(INDEX('2 Assets'!$E$2:$E$201,MATCH(INDEX('2 Assets'!$M$2:$M$201,MATCH(INDEX('2 Measurements'!$C$2:$C$201,MATCH(A155,'2 Measurements'!$A$2:$A$201,0)),'2 Assets'!$A$2:$A$201,0)),'2 Assets'!$A$2:$A$201,0))="",INDEX('2 Assets'!$M$2:$M$201,MATCH(INDEX('2 Measurements'!$C$2:$C$201,MATCH(A155,'2 Measurements'!$A$2:$A$201,0)),'2 Assets'!$A$2:$A$201,0)),INDEX('2 Assets'!$E$2:$E$201,MATCH(INDEX('2 Assets'!$M$2:$M$201,MATCH(INDEX('2 Measurements'!$C$2:$C$201,MATCH(A155,'2 Measurements'!$A$2:$A$201,0)),'2 Assets'!$A$2:$A$201,0)),'2 Assets'!$A$2:$A$201,0))),INDEX('2 Assets'!$M$2:$M$201,MATCH(INDEX('2 Measurements'!$C$2:$C$201,MATCH(A155,'2 Measurements'!$A$2:$A$201,0)),'2 Assets'!$A$2:$A$201,0)))&amp;"/"&amp;INDEX('2 Measurements'!$C$2:$C$201,MATCH(A155,'2 Measurements'!$A$2:$A$201,0))&amp;"/"&amp;INDEX('2 Measurements'!$F$2:$F$201,MATCH(A155,'2 Measurements'!$A$2:$A$201,0))),""))</f>
        <v/>
      </c>
      <c r="E155" s="10" t="str">
        <f aca="false">IF(A155="","",IF(SUMPRODUCT(--EXACT('2 Measurements'!$A$2:$A$201,A155))=0,"Not on the Measurements sheet",IF(SUMPRODUCT(--EXACT($A$2:$A$201,A155))&gt;1,"Listed twice",IF(D155="","Topic could not be built: check the asset and the measurement",IF(COUNTIF($D$2:$D$201,D155)&gt;1,"Topic used twice","ok")))))</f>
        <v/>
      </c>
    </row>
    <row r="156" customFormat="false" ht="15" hidden="false" customHeight="false" outlineLevel="0" collapsed="false">
      <c r="A156" s="9"/>
      <c r="B156" s="9"/>
      <c r="C156" s="9"/>
      <c r="D156" s="10" t="str">
        <f aca="false">IF(A156="","",IFERROR(IF(INDEX('2 Measurements'!$B$2:$B$201,MATCH(A156,'2 Measurements'!$A$2:$A$201,0))="Measurement",'Read me'!$B$9&amp;"/"&amp;INDEX('2 Assets'!$F$2:$F$201,MATCH(INDEX('2 Measurements'!$C$2:$C$201,MATCH(A156,'2 Measurements'!$A$2:$A$201,0)),'2 Assets'!$A$2:$A$201,0))&amp;"/"&amp;INDEX('2 Measurements'!$F$2:$F$201,MATCH(A156,'2 Measurements'!$A$2:$A$201,0)),'Read me'!$B$10&amp;"/"&amp;IFERROR(IF(INDEX('2 Assets'!$E$2:$E$201,MATCH(INDEX('2 Assets'!$M$2:$M$201,MATCH(INDEX('2 Measurements'!$C$2:$C$201,MATCH(A156,'2 Measurements'!$A$2:$A$201,0)),'2 Assets'!$A$2:$A$201,0)),'2 Assets'!$A$2:$A$201,0))="",INDEX('2 Assets'!$M$2:$M$201,MATCH(INDEX('2 Measurements'!$C$2:$C$201,MATCH(A156,'2 Measurements'!$A$2:$A$201,0)),'2 Assets'!$A$2:$A$201,0)),INDEX('2 Assets'!$E$2:$E$201,MATCH(INDEX('2 Assets'!$M$2:$M$201,MATCH(INDEX('2 Measurements'!$C$2:$C$201,MATCH(A156,'2 Measurements'!$A$2:$A$201,0)),'2 Assets'!$A$2:$A$201,0)),'2 Assets'!$A$2:$A$201,0))),INDEX('2 Assets'!$M$2:$M$201,MATCH(INDEX('2 Measurements'!$C$2:$C$201,MATCH(A156,'2 Measurements'!$A$2:$A$201,0)),'2 Assets'!$A$2:$A$201,0)))&amp;"/"&amp;INDEX('2 Measurements'!$C$2:$C$201,MATCH(A156,'2 Measurements'!$A$2:$A$201,0))&amp;"/"&amp;INDEX('2 Measurements'!$F$2:$F$201,MATCH(A156,'2 Measurements'!$A$2:$A$201,0))),""))</f>
        <v/>
      </c>
      <c r="E156" s="10" t="str">
        <f aca="false">IF(A156="","",IF(SUMPRODUCT(--EXACT('2 Measurements'!$A$2:$A$201,A156))=0,"Not on the Measurements sheet",IF(SUMPRODUCT(--EXACT($A$2:$A$201,A156))&gt;1,"Listed twice",IF(D156="","Topic could not be built: check the asset and the measurement",IF(COUNTIF($D$2:$D$201,D156)&gt;1,"Topic used twice","ok")))))</f>
        <v/>
      </c>
    </row>
    <row r="157" customFormat="false" ht="15" hidden="false" customHeight="false" outlineLevel="0" collapsed="false">
      <c r="A157" s="9"/>
      <c r="B157" s="9"/>
      <c r="C157" s="9"/>
      <c r="D157" s="10" t="str">
        <f aca="false">IF(A157="","",IFERROR(IF(INDEX('2 Measurements'!$B$2:$B$201,MATCH(A157,'2 Measurements'!$A$2:$A$201,0))="Measurement",'Read me'!$B$9&amp;"/"&amp;INDEX('2 Assets'!$F$2:$F$201,MATCH(INDEX('2 Measurements'!$C$2:$C$201,MATCH(A157,'2 Measurements'!$A$2:$A$201,0)),'2 Assets'!$A$2:$A$201,0))&amp;"/"&amp;INDEX('2 Measurements'!$F$2:$F$201,MATCH(A157,'2 Measurements'!$A$2:$A$201,0)),'Read me'!$B$10&amp;"/"&amp;IFERROR(IF(INDEX('2 Assets'!$E$2:$E$201,MATCH(INDEX('2 Assets'!$M$2:$M$201,MATCH(INDEX('2 Measurements'!$C$2:$C$201,MATCH(A157,'2 Measurements'!$A$2:$A$201,0)),'2 Assets'!$A$2:$A$201,0)),'2 Assets'!$A$2:$A$201,0))="",INDEX('2 Assets'!$M$2:$M$201,MATCH(INDEX('2 Measurements'!$C$2:$C$201,MATCH(A157,'2 Measurements'!$A$2:$A$201,0)),'2 Assets'!$A$2:$A$201,0)),INDEX('2 Assets'!$E$2:$E$201,MATCH(INDEX('2 Assets'!$M$2:$M$201,MATCH(INDEX('2 Measurements'!$C$2:$C$201,MATCH(A157,'2 Measurements'!$A$2:$A$201,0)),'2 Assets'!$A$2:$A$201,0)),'2 Assets'!$A$2:$A$201,0))),INDEX('2 Assets'!$M$2:$M$201,MATCH(INDEX('2 Measurements'!$C$2:$C$201,MATCH(A157,'2 Measurements'!$A$2:$A$201,0)),'2 Assets'!$A$2:$A$201,0)))&amp;"/"&amp;INDEX('2 Measurements'!$C$2:$C$201,MATCH(A157,'2 Measurements'!$A$2:$A$201,0))&amp;"/"&amp;INDEX('2 Measurements'!$F$2:$F$201,MATCH(A157,'2 Measurements'!$A$2:$A$201,0))),""))</f>
        <v/>
      </c>
      <c r="E157" s="10" t="str">
        <f aca="false">IF(A157="","",IF(SUMPRODUCT(--EXACT('2 Measurements'!$A$2:$A$201,A157))=0,"Not on the Measurements sheet",IF(SUMPRODUCT(--EXACT($A$2:$A$201,A157))&gt;1,"Listed twice",IF(D157="","Topic could not be built: check the asset and the measurement",IF(COUNTIF($D$2:$D$201,D157)&gt;1,"Topic used twice","ok")))))</f>
        <v/>
      </c>
    </row>
    <row r="158" customFormat="false" ht="15" hidden="false" customHeight="false" outlineLevel="0" collapsed="false">
      <c r="A158" s="9"/>
      <c r="B158" s="9"/>
      <c r="C158" s="9"/>
      <c r="D158" s="10" t="str">
        <f aca="false">IF(A158="","",IFERROR(IF(INDEX('2 Measurements'!$B$2:$B$201,MATCH(A158,'2 Measurements'!$A$2:$A$201,0))="Measurement",'Read me'!$B$9&amp;"/"&amp;INDEX('2 Assets'!$F$2:$F$201,MATCH(INDEX('2 Measurements'!$C$2:$C$201,MATCH(A158,'2 Measurements'!$A$2:$A$201,0)),'2 Assets'!$A$2:$A$201,0))&amp;"/"&amp;INDEX('2 Measurements'!$F$2:$F$201,MATCH(A158,'2 Measurements'!$A$2:$A$201,0)),'Read me'!$B$10&amp;"/"&amp;IFERROR(IF(INDEX('2 Assets'!$E$2:$E$201,MATCH(INDEX('2 Assets'!$M$2:$M$201,MATCH(INDEX('2 Measurements'!$C$2:$C$201,MATCH(A158,'2 Measurements'!$A$2:$A$201,0)),'2 Assets'!$A$2:$A$201,0)),'2 Assets'!$A$2:$A$201,0))="",INDEX('2 Assets'!$M$2:$M$201,MATCH(INDEX('2 Measurements'!$C$2:$C$201,MATCH(A158,'2 Measurements'!$A$2:$A$201,0)),'2 Assets'!$A$2:$A$201,0)),INDEX('2 Assets'!$E$2:$E$201,MATCH(INDEX('2 Assets'!$M$2:$M$201,MATCH(INDEX('2 Measurements'!$C$2:$C$201,MATCH(A158,'2 Measurements'!$A$2:$A$201,0)),'2 Assets'!$A$2:$A$201,0)),'2 Assets'!$A$2:$A$201,0))),INDEX('2 Assets'!$M$2:$M$201,MATCH(INDEX('2 Measurements'!$C$2:$C$201,MATCH(A158,'2 Measurements'!$A$2:$A$201,0)),'2 Assets'!$A$2:$A$201,0)))&amp;"/"&amp;INDEX('2 Measurements'!$C$2:$C$201,MATCH(A158,'2 Measurements'!$A$2:$A$201,0))&amp;"/"&amp;INDEX('2 Measurements'!$F$2:$F$201,MATCH(A158,'2 Measurements'!$A$2:$A$201,0))),""))</f>
        <v/>
      </c>
      <c r="E158" s="10" t="str">
        <f aca="false">IF(A158="","",IF(SUMPRODUCT(--EXACT('2 Measurements'!$A$2:$A$201,A158))=0,"Not on the Measurements sheet",IF(SUMPRODUCT(--EXACT($A$2:$A$201,A158))&gt;1,"Listed twice",IF(D158="","Topic could not be built: check the asset and the measurement",IF(COUNTIF($D$2:$D$201,D158)&gt;1,"Topic used twice","ok")))))</f>
        <v/>
      </c>
    </row>
    <row r="159" customFormat="false" ht="15" hidden="false" customHeight="false" outlineLevel="0" collapsed="false">
      <c r="A159" s="9"/>
      <c r="B159" s="9"/>
      <c r="C159" s="9"/>
      <c r="D159" s="10" t="str">
        <f aca="false">IF(A159="","",IFERROR(IF(INDEX('2 Measurements'!$B$2:$B$201,MATCH(A159,'2 Measurements'!$A$2:$A$201,0))="Measurement",'Read me'!$B$9&amp;"/"&amp;INDEX('2 Assets'!$F$2:$F$201,MATCH(INDEX('2 Measurements'!$C$2:$C$201,MATCH(A159,'2 Measurements'!$A$2:$A$201,0)),'2 Assets'!$A$2:$A$201,0))&amp;"/"&amp;INDEX('2 Measurements'!$F$2:$F$201,MATCH(A159,'2 Measurements'!$A$2:$A$201,0)),'Read me'!$B$10&amp;"/"&amp;IFERROR(IF(INDEX('2 Assets'!$E$2:$E$201,MATCH(INDEX('2 Assets'!$M$2:$M$201,MATCH(INDEX('2 Measurements'!$C$2:$C$201,MATCH(A159,'2 Measurements'!$A$2:$A$201,0)),'2 Assets'!$A$2:$A$201,0)),'2 Assets'!$A$2:$A$201,0))="",INDEX('2 Assets'!$M$2:$M$201,MATCH(INDEX('2 Measurements'!$C$2:$C$201,MATCH(A159,'2 Measurements'!$A$2:$A$201,0)),'2 Assets'!$A$2:$A$201,0)),INDEX('2 Assets'!$E$2:$E$201,MATCH(INDEX('2 Assets'!$M$2:$M$201,MATCH(INDEX('2 Measurements'!$C$2:$C$201,MATCH(A159,'2 Measurements'!$A$2:$A$201,0)),'2 Assets'!$A$2:$A$201,0)),'2 Assets'!$A$2:$A$201,0))),INDEX('2 Assets'!$M$2:$M$201,MATCH(INDEX('2 Measurements'!$C$2:$C$201,MATCH(A159,'2 Measurements'!$A$2:$A$201,0)),'2 Assets'!$A$2:$A$201,0)))&amp;"/"&amp;INDEX('2 Measurements'!$C$2:$C$201,MATCH(A159,'2 Measurements'!$A$2:$A$201,0))&amp;"/"&amp;INDEX('2 Measurements'!$F$2:$F$201,MATCH(A159,'2 Measurements'!$A$2:$A$201,0))),""))</f>
        <v/>
      </c>
      <c r="E159" s="10" t="str">
        <f aca="false">IF(A159="","",IF(SUMPRODUCT(--EXACT('2 Measurements'!$A$2:$A$201,A159))=0,"Not on the Measurements sheet",IF(SUMPRODUCT(--EXACT($A$2:$A$201,A159))&gt;1,"Listed twice",IF(D159="","Topic could not be built: check the asset and the measurement",IF(COUNTIF($D$2:$D$201,D159)&gt;1,"Topic used twice","ok")))))</f>
        <v/>
      </c>
    </row>
    <row r="160" customFormat="false" ht="15" hidden="false" customHeight="false" outlineLevel="0" collapsed="false">
      <c r="A160" s="9"/>
      <c r="B160" s="9"/>
      <c r="C160" s="9"/>
      <c r="D160" s="10" t="str">
        <f aca="false">IF(A160="","",IFERROR(IF(INDEX('2 Measurements'!$B$2:$B$201,MATCH(A160,'2 Measurements'!$A$2:$A$201,0))="Measurement",'Read me'!$B$9&amp;"/"&amp;INDEX('2 Assets'!$F$2:$F$201,MATCH(INDEX('2 Measurements'!$C$2:$C$201,MATCH(A160,'2 Measurements'!$A$2:$A$201,0)),'2 Assets'!$A$2:$A$201,0))&amp;"/"&amp;INDEX('2 Measurements'!$F$2:$F$201,MATCH(A160,'2 Measurements'!$A$2:$A$201,0)),'Read me'!$B$10&amp;"/"&amp;IFERROR(IF(INDEX('2 Assets'!$E$2:$E$201,MATCH(INDEX('2 Assets'!$M$2:$M$201,MATCH(INDEX('2 Measurements'!$C$2:$C$201,MATCH(A160,'2 Measurements'!$A$2:$A$201,0)),'2 Assets'!$A$2:$A$201,0)),'2 Assets'!$A$2:$A$201,0))="",INDEX('2 Assets'!$M$2:$M$201,MATCH(INDEX('2 Measurements'!$C$2:$C$201,MATCH(A160,'2 Measurements'!$A$2:$A$201,0)),'2 Assets'!$A$2:$A$201,0)),INDEX('2 Assets'!$E$2:$E$201,MATCH(INDEX('2 Assets'!$M$2:$M$201,MATCH(INDEX('2 Measurements'!$C$2:$C$201,MATCH(A160,'2 Measurements'!$A$2:$A$201,0)),'2 Assets'!$A$2:$A$201,0)),'2 Assets'!$A$2:$A$201,0))),INDEX('2 Assets'!$M$2:$M$201,MATCH(INDEX('2 Measurements'!$C$2:$C$201,MATCH(A160,'2 Measurements'!$A$2:$A$201,0)),'2 Assets'!$A$2:$A$201,0)))&amp;"/"&amp;INDEX('2 Measurements'!$C$2:$C$201,MATCH(A160,'2 Measurements'!$A$2:$A$201,0))&amp;"/"&amp;INDEX('2 Measurements'!$F$2:$F$201,MATCH(A160,'2 Measurements'!$A$2:$A$201,0))),""))</f>
        <v/>
      </c>
      <c r="E160" s="10" t="str">
        <f aca="false">IF(A160="","",IF(SUMPRODUCT(--EXACT('2 Measurements'!$A$2:$A$201,A160))=0,"Not on the Measurements sheet",IF(SUMPRODUCT(--EXACT($A$2:$A$201,A160))&gt;1,"Listed twice",IF(D160="","Topic could not be built: check the asset and the measurement",IF(COUNTIF($D$2:$D$201,D160)&gt;1,"Topic used twice","ok")))))</f>
        <v/>
      </c>
    </row>
    <row r="161" customFormat="false" ht="15" hidden="false" customHeight="false" outlineLevel="0" collapsed="false">
      <c r="A161" s="9"/>
      <c r="B161" s="9"/>
      <c r="C161" s="9"/>
      <c r="D161" s="10" t="str">
        <f aca="false">IF(A161="","",IFERROR(IF(INDEX('2 Measurements'!$B$2:$B$201,MATCH(A161,'2 Measurements'!$A$2:$A$201,0))="Measurement",'Read me'!$B$9&amp;"/"&amp;INDEX('2 Assets'!$F$2:$F$201,MATCH(INDEX('2 Measurements'!$C$2:$C$201,MATCH(A161,'2 Measurements'!$A$2:$A$201,0)),'2 Assets'!$A$2:$A$201,0))&amp;"/"&amp;INDEX('2 Measurements'!$F$2:$F$201,MATCH(A161,'2 Measurements'!$A$2:$A$201,0)),'Read me'!$B$10&amp;"/"&amp;IFERROR(IF(INDEX('2 Assets'!$E$2:$E$201,MATCH(INDEX('2 Assets'!$M$2:$M$201,MATCH(INDEX('2 Measurements'!$C$2:$C$201,MATCH(A161,'2 Measurements'!$A$2:$A$201,0)),'2 Assets'!$A$2:$A$201,0)),'2 Assets'!$A$2:$A$201,0))="",INDEX('2 Assets'!$M$2:$M$201,MATCH(INDEX('2 Measurements'!$C$2:$C$201,MATCH(A161,'2 Measurements'!$A$2:$A$201,0)),'2 Assets'!$A$2:$A$201,0)),INDEX('2 Assets'!$E$2:$E$201,MATCH(INDEX('2 Assets'!$M$2:$M$201,MATCH(INDEX('2 Measurements'!$C$2:$C$201,MATCH(A161,'2 Measurements'!$A$2:$A$201,0)),'2 Assets'!$A$2:$A$201,0)),'2 Assets'!$A$2:$A$201,0))),INDEX('2 Assets'!$M$2:$M$201,MATCH(INDEX('2 Measurements'!$C$2:$C$201,MATCH(A161,'2 Measurements'!$A$2:$A$201,0)),'2 Assets'!$A$2:$A$201,0)))&amp;"/"&amp;INDEX('2 Measurements'!$C$2:$C$201,MATCH(A161,'2 Measurements'!$A$2:$A$201,0))&amp;"/"&amp;INDEX('2 Measurements'!$F$2:$F$201,MATCH(A161,'2 Measurements'!$A$2:$A$201,0))),""))</f>
        <v/>
      </c>
      <c r="E161" s="10" t="str">
        <f aca="false">IF(A161="","",IF(SUMPRODUCT(--EXACT('2 Measurements'!$A$2:$A$201,A161))=0,"Not on the Measurements sheet",IF(SUMPRODUCT(--EXACT($A$2:$A$201,A161))&gt;1,"Listed twice",IF(D161="","Topic could not be built: check the asset and the measurement",IF(COUNTIF($D$2:$D$201,D161)&gt;1,"Topic used twice","ok")))))</f>
        <v/>
      </c>
    </row>
    <row r="162" customFormat="false" ht="15" hidden="false" customHeight="false" outlineLevel="0" collapsed="false">
      <c r="A162" s="9"/>
      <c r="B162" s="9"/>
      <c r="C162" s="9"/>
      <c r="D162" s="10" t="str">
        <f aca="false">IF(A162="","",IFERROR(IF(INDEX('2 Measurements'!$B$2:$B$201,MATCH(A162,'2 Measurements'!$A$2:$A$201,0))="Measurement",'Read me'!$B$9&amp;"/"&amp;INDEX('2 Assets'!$F$2:$F$201,MATCH(INDEX('2 Measurements'!$C$2:$C$201,MATCH(A162,'2 Measurements'!$A$2:$A$201,0)),'2 Assets'!$A$2:$A$201,0))&amp;"/"&amp;INDEX('2 Measurements'!$F$2:$F$201,MATCH(A162,'2 Measurements'!$A$2:$A$201,0)),'Read me'!$B$10&amp;"/"&amp;IFERROR(IF(INDEX('2 Assets'!$E$2:$E$201,MATCH(INDEX('2 Assets'!$M$2:$M$201,MATCH(INDEX('2 Measurements'!$C$2:$C$201,MATCH(A162,'2 Measurements'!$A$2:$A$201,0)),'2 Assets'!$A$2:$A$201,0)),'2 Assets'!$A$2:$A$201,0))="",INDEX('2 Assets'!$M$2:$M$201,MATCH(INDEX('2 Measurements'!$C$2:$C$201,MATCH(A162,'2 Measurements'!$A$2:$A$201,0)),'2 Assets'!$A$2:$A$201,0)),INDEX('2 Assets'!$E$2:$E$201,MATCH(INDEX('2 Assets'!$M$2:$M$201,MATCH(INDEX('2 Measurements'!$C$2:$C$201,MATCH(A162,'2 Measurements'!$A$2:$A$201,0)),'2 Assets'!$A$2:$A$201,0)),'2 Assets'!$A$2:$A$201,0))),INDEX('2 Assets'!$M$2:$M$201,MATCH(INDEX('2 Measurements'!$C$2:$C$201,MATCH(A162,'2 Measurements'!$A$2:$A$201,0)),'2 Assets'!$A$2:$A$201,0)))&amp;"/"&amp;INDEX('2 Measurements'!$C$2:$C$201,MATCH(A162,'2 Measurements'!$A$2:$A$201,0))&amp;"/"&amp;INDEX('2 Measurements'!$F$2:$F$201,MATCH(A162,'2 Measurements'!$A$2:$A$201,0))),""))</f>
        <v/>
      </c>
      <c r="E162" s="10" t="str">
        <f aca="false">IF(A162="","",IF(SUMPRODUCT(--EXACT('2 Measurements'!$A$2:$A$201,A162))=0,"Not on the Measurements sheet",IF(SUMPRODUCT(--EXACT($A$2:$A$201,A162))&gt;1,"Listed twice",IF(D162="","Topic could not be built: check the asset and the measurement",IF(COUNTIF($D$2:$D$201,D162)&gt;1,"Topic used twice","ok")))))</f>
        <v/>
      </c>
    </row>
    <row r="163" customFormat="false" ht="15" hidden="false" customHeight="false" outlineLevel="0" collapsed="false">
      <c r="A163" s="9"/>
      <c r="B163" s="9"/>
      <c r="C163" s="9"/>
      <c r="D163" s="10" t="str">
        <f aca="false">IF(A163="","",IFERROR(IF(INDEX('2 Measurements'!$B$2:$B$201,MATCH(A163,'2 Measurements'!$A$2:$A$201,0))="Measurement",'Read me'!$B$9&amp;"/"&amp;INDEX('2 Assets'!$F$2:$F$201,MATCH(INDEX('2 Measurements'!$C$2:$C$201,MATCH(A163,'2 Measurements'!$A$2:$A$201,0)),'2 Assets'!$A$2:$A$201,0))&amp;"/"&amp;INDEX('2 Measurements'!$F$2:$F$201,MATCH(A163,'2 Measurements'!$A$2:$A$201,0)),'Read me'!$B$10&amp;"/"&amp;IFERROR(IF(INDEX('2 Assets'!$E$2:$E$201,MATCH(INDEX('2 Assets'!$M$2:$M$201,MATCH(INDEX('2 Measurements'!$C$2:$C$201,MATCH(A163,'2 Measurements'!$A$2:$A$201,0)),'2 Assets'!$A$2:$A$201,0)),'2 Assets'!$A$2:$A$201,0))="",INDEX('2 Assets'!$M$2:$M$201,MATCH(INDEX('2 Measurements'!$C$2:$C$201,MATCH(A163,'2 Measurements'!$A$2:$A$201,0)),'2 Assets'!$A$2:$A$201,0)),INDEX('2 Assets'!$E$2:$E$201,MATCH(INDEX('2 Assets'!$M$2:$M$201,MATCH(INDEX('2 Measurements'!$C$2:$C$201,MATCH(A163,'2 Measurements'!$A$2:$A$201,0)),'2 Assets'!$A$2:$A$201,0)),'2 Assets'!$A$2:$A$201,0))),INDEX('2 Assets'!$M$2:$M$201,MATCH(INDEX('2 Measurements'!$C$2:$C$201,MATCH(A163,'2 Measurements'!$A$2:$A$201,0)),'2 Assets'!$A$2:$A$201,0)))&amp;"/"&amp;INDEX('2 Measurements'!$C$2:$C$201,MATCH(A163,'2 Measurements'!$A$2:$A$201,0))&amp;"/"&amp;INDEX('2 Measurements'!$F$2:$F$201,MATCH(A163,'2 Measurements'!$A$2:$A$201,0))),""))</f>
        <v/>
      </c>
      <c r="E163" s="10" t="str">
        <f aca="false">IF(A163="","",IF(SUMPRODUCT(--EXACT('2 Measurements'!$A$2:$A$201,A163))=0,"Not on the Measurements sheet",IF(SUMPRODUCT(--EXACT($A$2:$A$201,A163))&gt;1,"Listed twice",IF(D163="","Topic could not be built: check the asset and the measurement",IF(COUNTIF($D$2:$D$201,D163)&gt;1,"Topic used twice","ok")))))</f>
        <v/>
      </c>
    </row>
    <row r="164" customFormat="false" ht="15" hidden="false" customHeight="false" outlineLevel="0" collapsed="false">
      <c r="A164" s="9"/>
      <c r="B164" s="9"/>
      <c r="C164" s="9"/>
      <c r="D164" s="10" t="str">
        <f aca="false">IF(A164="","",IFERROR(IF(INDEX('2 Measurements'!$B$2:$B$201,MATCH(A164,'2 Measurements'!$A$2:$A$201,0))="Measurement",'Read me'!$B$9&amp;"/"&amp;INDEX('2 Assets'!$F$2:$F$201,MATCH(INDEX('2 Measurements'!$C$2:$C$201,MATCH(A164,'2 Measurements'!$A$2:$A$201,0)),'2 Assets'!$A$2:$A$201,0))&amp;"/"&amp;INDEX('2 Measurements'!$F$2:$F$201,MATCH(A164,'2 Measurements'!$A$2:$A$201,0)),'Read me'!$B$10&amp;"/"&amp;IFERROR(IF(INDEX('2 Assets'!$E$2:$E$201,MATCH(INDEX('2 Assets'!$M$2:$M$201,MATCH(INDEX('2 Measurements'!$C$2:$C$201,MATCH(A164,'2 Measurements'!$A$2:$A$201,0)),'2 Assets'!$A$2:$A$201,0)),'2 Assets'!$A$2:$A$201,0))="",INDEX('2 Assets'!$M$2:$M$201,MATCH(INDEX('2 Measurements'!$C$2:$C$201,MATCH(A164,'2 Measurements'!$A$2:$A$201,0)),'2 Assets'!$A$2:$A$201,0)),INDEX('2 Assets'!$E$2:$E$201,MATCH(INDEX('2 Assets'!$M$2:$M$201,MATCH(INDEX('2 Measurements'!$C$2:$C$201,MATCH(A164,'2 Measurements'!$A$2:$A$201,0)),'2 Assets'!$A$2:$A$201,0)),'2 Assets'!$A$2:$A$201,0))),INDEX('2 Assets'!$M$2:$M$201,MATCH(INDEX('2 Measurements'!$C$2:$C$201,MATCH(A164,'2 Measurements'!$A$2:$A$201,0)),'2 Assets'!$A$2:$A$201,0)))&amp;"/"&amp;INDEX('2 Measurements'!$C$2:$C$201,MATCH(A164,'2 Measurements'!$A$2:$A$201,0))&amp;"/"&amp;INDEX('2 Measurements'!$F$2:$F$201,MATCH(A164,'2 Measurements'!$A$2:$A$201,0))),""))</f>
        <v/>
      </c>
      <c r="E164" s="10" t="str">
        <f aca="false">IF(A164="","",IF(SUMPRODUCT(--EXACT('2 Measurements'!$A$2:$A$201,A164))=0,"Not on the Measurements sheet",IF(SUMPRODUCT(--EXACT($A$2:$A$201,A164))&gt;1,"Listed twice",IF(D164="","Topic could not be built: check the asset and the measurement",IF(COUNTIF($D$2:$D$201,D164)&gt;1,"Topic used twice","ok")))))</f>
        <v/>
      </c>
    </row>
    <row r="165" customFormat="false" ht="15" hidden="false" customHeight="false" outlineLevel="0" collapsed="false">
      <c r="A165" s="9"/>
      <c r="B165" s="9"/>
      <c r="C165" s="9"/>
      <c r="D165" s="10" t="str">
        <f aca="false">IF(A165="","",IFERROR(IF(INDEX('2 Measurements'!$B$2:$B$201,MATCH(A165,'2 Measurements'!$A$2:$A$201,0))="Measurement",'Read me'!$B$9&amp;"/"&amp;INDEX('2 Assets'!$F$2:$F$201,MATCH(INDEX('2 Measurements'!$C$2:$C$201,MATCH(A165,'2 Measurements'!$A$2:$A$201,0)),'2 Assets'!$A$2:$A$201,0))&amp;"/"&amp;INDEX('2 Measurements'!$F$2:$F$201,MATCH(A165,'2 Measurements'!$A$2:$A$201,0)),'Read me'!$B$10&amp;"/"&amp;IFERROR(IF(INDEX('2 Assets'!$E$2:$E$201,MATCH(INDEX('2 Assets'!$M$2:$M$201,MATCH(INDEX('2 Measurements'!$C$2:$C$201,MATCH(A165,'2 Measurements'!$A$2:$A$201,0)),'2 Assets'!$A$2:$A$201,0)),'2 Assets'!$A$2:$A$201,0))="",INDEX('2 Assets'!$M$2:$M$201,MATCH(INDEX('2 Measurements'!$C$2:$C$201,MATCH(A165,'2 Measurements'!$A$2:$A$201,0)),'2 Assets'!$A$2:$A$201,0)),INDEX('2 Assets'!$E$2:$E$201,MATCH(INDEX('2 Assets'!$M$2:$M$201,MATCH(INDEX('2 Measurements'!$C$2:$C$201,MATCH(A165,'2 Measurements'!$A$2:$A$201,0)),'2 Assets'!$A$2:$A$201,0)),'2 Assets'!$A$2:$A$201,0))),INDEX('2 Assets'!$M$2:$M$201,MATCH(INDEX('2 Measurements'!$C$2:$C$201,MATCH(A165,'2 Measurements'!$A$2:$A$201,0)),'2 Assets'!$A$2:$A$201,0)))&amp;"/"&amp;INDEX('2 Measurements'!$C$2:$C$201,MATCH(A165,'2 Measurements'!$A$2:$A$201,0))&amp;"/"&amp;INDEX('2 Measurements'!$F$2:$F$201,MATCH(A165,'2 Measurements'!$A$2:$A$201,0))),""))</f>
        <v/>
      </c>
      <c r="E165" s="10" t="str">
        <f aca="false">IF(A165="","",IF(SUMPRODUCT(--EXACT('2 Measurements'!$A$2:$A$201,A165))=0,"Not on the Measurements sheet",IF(SUMPRODUCT(--EXACT($A$2:$A$201,A165))&gt;1,"Listed twice",IF(D165="","Topic could not be built: check the asset and the measurement",IF(COUNTIF($D$2:$D$201,D165)&gt;1,"Topic used twice","ok")))))</f>
        <v/>
      </c>
    </row>
    <row r="166" customFormat="false" ht="15" hidden="false" customHeight="false" outlineLevel="0" collapsed="false">
      <c r="A166" s="9"/>
      <c r="B166" s="9"/>
      <c r="C166" s="9"/>
      <c r="D166" s="10" t="str">
        <f aca="false">IF(A166="","",IFERROR(IF(INDEX('2 Measurements'!$B$2:$B$201,MATCH(A166,'2 Measurements'!$A$2:$A$201,0))="Measurement",'Read me'!$B$9&amp;"/"&amp;INDEX('2 Assets'!$F$2:$F$201,MATCH(INDEX('2 Measurements'!$C$2:$C$201,MATCH(A166,'2 Measurements'!$A$2:$A$201,0)),'2 Assets'!$A$2:$A$201,0))&amp;"/"&amp;INDEX('2 Measurements'!$F$2:$F$201,MATCH(A166,'2 Measurements'!$A$2:$A$201,0)),'Read me'!$B$10&amp;"/"&amp;IFERROR(IF(INDEX('2 Assets'!$E$2:$E$201,MATCH(INDEX('2 Assets'!$M$2:$M$201,MATCH(INDEX('2 Measurements'!$C$2:$C$201,MATCH(A166,'2 Measurements'!$A$2:$A$201,0)),'2 Assets'!$A$2:$A$201,0)),'2 Assets'!$A$2:$A$201,0))="",INDEX('2 Assets'!$M$2:$M$201,MATCH(INDEX('2 Measurements'!$C$2:$C$201,MATCH(A166,'2 Measurements'!$A$2:$A$201,0)),'2 Assets'!$A$2:$A$201,0)),INDEX('2 Assets'!$E$2:$E$201,MATCH(INDEX('2 Assets'!$M$2:$M$201,MATCH(INDEX('2 Measurements'!$C$2:$C$201,MATCH(A166,'2 Measurements'!$A$2:$A$201,0)),'2 Assets'!$A$2:$A$201,0)),'2 Assets'!$A$2:$A$201,0))),INDEX('2 Assets'!$M$2:$M$201,MATCH(INDEX('2 Measurements'!$C$2:$C$201,MATCH(A166,'2 Measurements'!$A$2:$A$201,0)),'2 Assets'!$A$2:$A$201,0)))&amp;"/"&amp;INDEX('2 Measurements'!$C$2:$C$201,MATCH(A166,'2 Measurements'!$A$2:$A$201,0))&amp;"/"&amp;INDEX('2 Measurements'!$F$2:$F$201,MATCH(A166,'2 Measurements'!$A$2:$A$201,0))),""))</f>
        <v/>
      </c>
      <c r="E166" s="10" t="str">
        <f aca="false">IF(A166="","",IF(SUMPRODUCT(--EXACT('2 Measurements'!$A$2:$A$201,A166))=0,"Not on the Measurements sheet",IF(SUMPRODUCT(--EXACT($A$2:$A$201,A166))&gt;1,"Listed twice",IF(D166="","Topic could not be built: check the asset and the measurement",IF(COUNTIF($D$2:$D$201,D166)&gt;1,"Topic used twice","ok")))))</f>
        <v/>
      </c>
    </row>
    <row r="167" customFormat="false" ht="15" hidden="false" customHeight="false" outlineLevel="0" collapsed="false">
      <c r="A167" s="9"/>
      <c r="B167" s="9"/>
      <c r="C167" s="9"/>
      <c r="D167" s="10" t="str">
        <f aca="false">IF(A167="","",IFERROR(IF(INDEX('2 Measurements'!$B$2:$B$201,MATCH(A167,'2 Measurements'!$A$2:$A$201,0))="Measurement",'Read me'!$B$9&amp;"/"&amp;INDEX('2 Assets'!$F$2:$F$201,MATCH(INDEX('2 Measurements'!$C$2:$C$201,MATCH(A167,'2 Measurements'!$A$2:$A$201,0)),'2 Assets'!$A$2:$A$201,0))&amp;"/"&amp;INDEX('2 Measurements'!$F$2:$F$201,MATCH(A167,'2 Measurements'!$A$2:$A$201,0)),'Read me'!$B$10&amp;"/"&amp;IFERROR(IF(INDEX('2 Assets'!$E$2:$E$201,MATCH(INDEX('2 Assets'!$M$2:$M$201,MATCH(INDEX('2 Measurements'!$C$2:$C$201,MATCH(A167,'2 Measurements'!$A$2:$A$201,0)),'2 Assets'!$A$2:$A$201,0)),'2 Assets'!$A$2:$A$201,0))="",INDEX('2 Assets'!$M$2:$M$201,MATCH(INDEX('2 Measurements'!$C$2:$C$201,MATCH(A167,'2 Measurements'!$A$2:$A$201,0)),'2 Assets'!$A$2:$A$201,0)),INDEX('2 Assets'!$E$2:$E$201,MATCH(INDEX('2 Assets'!$M$2:$M$201,MATCH(INDEX('2 Measurements'!$C$2:$C$201,MATCH(A167,'2 Measurements'!$A$2:$A$201,0)),'2 Assets'!$A$2:$A$201,0)),'2 Assets'!$A$2:$A$201,0))),INDEX('2 Assets'!$M$2:$M$201,MATCH(INDEX('2 Measurements'!$C$2:$C$201,MATCH(A167,'2 Measurements'!$A$2:$A$201,0)),'2 Assets'!$A$2:$A$201,0)))&amp;"/"&amp;INDEX('2 Measurements'!$C$2:$C$201,MATCH(A167,'2 Measurements'!$A$2:$A$201,0))&amp;"/"&amp;INDEX('2 Measurements'!$F$2:$F$201,MATCH(A167,'2 Measurements'!$A$2:$A$201,0))),""))</f>
        <v/>
      </c>
      <c r="E167" s="10" t="str">
        <f aca="false">IF(A167="","",IF(SUMPRODUCT(--EXACT('2 Measurements'!$A$2:$A$201,A167))=0,"Not on the Measurements sheet",IF(SUMPRODUCT(--EXACT($A$2:$A$201,A167))&gt;1,"Listed twice",IF(D167="","Topic could not be built: check the asset and the measurement",IF(COUNTIF($D$2:$D$201,D167)&gt;1,"Topic used twice","ok")))))</f>
        <v/>
      </c>
    </row>
    <row r="168" customFormat="false" ht="15" hidden="false" customHeight="false" outlineLevel="0" collapsed="false">
      <c r="A168" s="9"/>
      <c r="B168" s="9"/>
      <c r="C168" s="9"/>
      <c r="D168" s="10" t="str">
        <f aca="false">IF(A168="","",IFERROR(IF(INDEX('2 Measurements'!$B$2:$B$201,MATCH(A168,'2 Measurements'!$A$2:$A$201,0))="Measurement",'Read me'!$B$9&amp;"/"&amp;INDEX('2 Assets'!$F$2:$F$201,MATCH(INDEX('2 Measurements'!$C$2:$C$201,MATCH(A168,'2 Measurements'!$A$2:$A$201,0)),'2 Assets'!$A$2:$A$201,0))&amp;"/"&amp;INDEX('2 Measurements'!$F$2:$F$201,MATCH(A168,'2 Measurements'!$A$2:$A$201,0)),'Read me'!$B$10&amp;"/"&amp;IFERROR(IF(INDEX('2 Assets'!$E$2:$E$201,MATCH(INDEX('2 Assets'!$M$2:$M$201,MATCH(INDEX('2 Measurements'!$C$2:$C$201,MATCH(A168,'2 Measurements'!$A$2:$A$201,0)),'2 Assets'!$A$2:$A$201,0)),'2 Assets'!$A$2:$A$201,0))="",INDEX('2 Assets'!$M$2:$M$201,MATCH(INDEX('2 Measurements'!$C$2:$C$201,MATCH(A168,'2 Measurements'!$A$2:$A$201,0)),'2 Assets'!$A$2:$A$201,0)),INDEX('2 Assets'!$E$2:$E$201,MATCH(INDEX('2 Assets'!$M$2:$M$201,MATCH(INDEX('2 Measurements'!$C$2:$C$201,MATCH(A168,'2 Measurements'!$A$2:$A$201,0)),'2 Assets'!$A$2:$A$201,0)),'2 Assets'!$A$2:$A$201,0))),INDEX('2 Assets'!$M$2:$M$201,MATCH(INDEX('2 Measurements'!$C$2:$C$201,MATCH(A168,'2 Measurements'!$A$2:$A$201,0)),'2 Assets'!$A$2:$A$201,0)))&amp;"/"&amp;INDEX('2 Measurements'!$C$2:$C$201,MATCH(A168,'2 Measurements'!$A$2:$A$201,0))&amp;"/"&amp;INDEX('2 Measurements'!$F$2:$F$201,MATCH(A168,'2 Measurements'!$A$2:$A$201,0))),""))</f>
        <v/>
      </c>
      <c r="E168" s="10" t="str">
        <f aca="false">IF(A168="","",IF(SUMPRODUCT(--EXACT('2 Measurements'!$A$2:$A$201,A168))=0,"Not on the Measurements sheet",IF(SUMPRODUCT(--EXACT($A$2:$A$201,A168))&gt;1,"Listed twice",IF(D168="","Topic could not be built: check the asset and the measurement",IF(COUNTIF($D$2:$D$201,D168)&gt;1,"Topic used twice","ok")))))</f>
        <v/>
      </c>
    </row>
    <row r="169" customFormat="false" ht="15" hidden="false" customHeight="false" outlineLevel="0" collapsed="false">
      <c r="A169" s="9"/>
      <c r="B169" s="9"/>
      <c r="C169" s="9"/>
      <c r="D169" s="10" t="str">
        <f aca="false">IF(A169="","",IFERROR(IF(INDEX('2 Measurements'!$B$2:$B$201,MATCH(A169,'2 Measurements'!$A$2:$A$201,0))="Measurement",'Read me'!$B$9&amp;"/"&amp;INDEX('2 Assets'!$F$2:$F$201,MATCH(INDEX('2 Measurements'!$C$2:$C$201,MATCH(A169,'2 Measurements'!$A$2:$A$201,0)),'2 Assets'!$A$2:$A$201,0))&amp;"/"&amp;INDEX('2 Measurements'!$F$2:$F$201,MATCH(A169,'2 Measurements'!$A$2:$A$201,0)),'Read me'!$B$10&amp;"/"&amp;IFERROR(IF(INDEX('2 Assets'!$E$2:$E$201,MATCH(INDEX('2 Assets'!$M$2:$M$201,MATCH(INDEX('2 Measurements'!$C$2:$C$201,MATCH(A169,'2 Measurements'!$A$2:$A$201,0)),'2 Assets'!$A$2:$A$201,0)),'2 Assets'!$A$2:$A$201,0))="",INDEX('2 Assets'!$M$2:$M$201,MATCH(INDEX('2 Measurements'!$C$2:$C$201,MATCH(A169,'2 Measurements'!$A$2:$A$201,0)),'2 Assets'!$A$2:$A$201,0)),INDEX('2 Assets'!$E$2:$E$201,MATCH(INDEX('2 Assets'!$M$2:$M$201,MATCH(INDEX('2 Measurements'!$C$2:$C$201,MATCH(A169,'2 Measurements'!$A$2:$A$201,0)),'2 Assets'!$A$2:$A$201,0)),'2 Assets'!$A$2:$A$201,0))),INDEX('2 Assets'!$M$2:$M$201,MATCH(INDEX('2 Measurements'!$C$2:$C$201,MATCH(A169,'2 Measurements'!$A$2:$A$201,0)),'2 Assets'!$A$2:$A$201,0)))&amp;"/"&amp;INDEX('2 Measurements'!$C$2:$C$201,MATCH(A169,'2 Measurements'!$A$2:$A$201,0))&amp;"/"&amp;INDEX('2 Measurements'!$F$2:$F$201,MATCH(A169,'2 Measurements'!$A$2:$A$201,0))),""))</f>
        <v/>
      </c>
      <c r="E169" s="10" t="str">
        <f aca="false">IF(A169="","",IF(SUMPRODUCT(--EXACT('2 Measurements'!$A$2:$A$201,A169))=0,"Not on the Measurements sheet",IF(SUMPRODUCT(--EXACT($A$2:$A$201,A169))&gt;1,"Listed twice",IF(D169="","Topic could not be built: check the asset and the measurement",IF(COUNTIF($D$2:$D$201,D169)&gt;1,"Topic used twice","ok")))))</f>
        <v/>
      </c>
    </row>
    <row r="170" customFormat="false" ht="15" hidden="false" customHeight="false" outlineLevel="0" collapsed="false">
      <c r="A170" s="9"/>
      <c r="B170" s="9"/>
      <c r="C170" s="9"/>
      <c r="D170" s="10" t="str">
        <f aca="false">IF(A170="","",IFERROR(IF(INDEX('2 Measurements'!$B$2:$B$201,MATCH(A170,'2 Measurements'!$A$2:$A$201,0))="Measurement",'Read me'!$B$9&amp;"/"&amp;INDEX('2 Assets'!$F$2:$F$201,MATCH(INDEX('2 Measurements'!$C$2:$C$201,MATCH(A170,'2 Measurements'!$A$2:$A$201,0)),'2 Assets'!$A$2:$A$201,0))&amp;"/"&amp;INDEX('2 Measurements'!$F$2:$F$201,MATCH(A170,'2 Measurements'!$A$2:$A$201,0)),'Read me'!$B$10&amp;"/"&amp;IFERROR(IF(INDEX('2 Assets'!$E$2:$E$201,MATCH(INDEX('2 Assets'!$M$2:$M$201,MATCH(INDEX('2 Measurements'!$C$2:$C$201,MATCH(A170,'2 Measurements'!$A$2:$A$201,0)),'2 Assets'!$A$2:$A$201,0)),'2 Assets'!$A$2:$A$201,0))="",INDEX('2 Assets'!$M$2:$M$201,MATCH(INDEX('2 Measurements'!$C$2:$C$201,MATCH(A170,'2 Measurements'!$A$2:$A$201,0)),'2 Assets'!$A$2:$A$201,0)),INDEX('2 Assets'!$E$2:$E$201,MATCH(INDEX('2 Assets'!$M$2:$M$201,MATCH(INDEX('2 Measurements'!$C$2:$C$201,MATCH(A170,'2 Measurements'!$A$2:$A$201,0)),'2 Assets'!$A$2:$A$201,0)),'2 Assets'!$A$2:$A$201,0))),INDEX('2 Assets'!$M$2:$M$201,MATCH(INDEX('2 Measurements'!$C$2:$C$201,MATCH(A170,'2 Measurements'!$A$2:$A$201,0)),'2 Assets'!$A$2:$A$201,0)))&amp;"/"&amp;INDEX('2 Measurements'!$C$2:$C$201,MATCH(A170,'2 Measurements'!$A$2:$A$201,0))&amp;"/"&amp;INDEX('2 Measurements'!$F$2:$F$201,MATCH(A170,'2 Measurements'!$A$2:$A$201,0))),""))</f>
        <v/>
      </c>
      <c r="E170" s="10" t="str">
        <f aca="false">IF(A170="","",IF(SUMPRODUCT(--EXACT('2 Measurements'!$A$2:$A$201,A170))=0,"Not on the Measurements sheet",IF(SUMPRODUCT(--EXACT($A$2:$A$201,A170))&gt;1,"Listed twice",IF(D170="","Topic could not be built: check the asset and the measurement",IF(COUNTIF($D$2:$D$201,D170)&gt;1,"Topic used twice","ok")))))</f>
        <v/>
      </c>
    </row>
    <row r="171" customFormat="false" ht="15" hidden="false" customHeight="false" outlineLevel="0" collapsed="false">
      <c r="A171" s="9"/>
      <c r="B171" s="9"/>
      <c r="C171" s="9"/>
      <c r="D171" s="10" t="str">
        <f aca="false">IF(A171="","",IFERROR(IF(INDEX('2 Measurements'!$B$2:$B$201,MATCH(A171,'2 Measurements'!$A$2:$A$201,0))="Measurement",'Read me'!$B$9&amp;"/"&amp;INDEX('2 Assets'!$F$2:$F$201,MATCH(INDEX('2 Measurements'!$C$2:$C$201,MATCH(A171,'2 Measurements'!$A$2:$A$201,0)),'2 Assets'!$A$2:$A$201,0))&amp;"/"&amp;INDEX('2 Measurements'!$F$2:$F$201,MATCH(A171,'2 Measurements'!$A$2:$A$201,0)),'Read me'!$B$10&amp;"/"&amp;IFERROR(IF(INDEX('2 Assets'!$E$2:$E$201,MATCH(INDEX('2 Assets'!$M$2:$M$201,MATCH(INDEX('2 Measurements'!$C$2:$C$201,MATCH(A171,'2 Measurements'!$A$2:$A$201,0)),'2 Assets'!$A$2:$A$201,0)),'2 Assets'!$A$2:$A$201,0))="",INDEX('2 Assets'!$M$2:$M$201,MATCH(INDEX('2 Measurements'!$C$2:$C$201,MATCH(A171,'2 Measurements'!$A$2:$A$201,0)),'2 Assets'!$A$2:$A$201,0)),INDEX('2 Assets'!$E$2:$E$201,MATCH(INDEX('2 Assets'!$M$2:$M$201,MATCH(INDEX('2 Measurements'!$C$2:$C$201,MATCH(A171,'2 Measurements'!$A$2:$A$201,0)),'2 Assets'!$A$2:$A$201,0)),'2 Assets'!$A$2:$A$201,0))),INDEX('2 Assets'!$M$2:$M$201,MATCH(INDEX('2 Measurements'!$C$2:$C$201,MATCH(A171,'2 Measurements'!$A$2:$A$201,0)),'2 Assets'!$A$2:$A$201,0)))&amp;"/"&amp;INDEX('2 Measurements'!$C$2:$C$201,MATCH(A171,'2 Measurements'!$A$2:$A$201,0))&amp;"/"&amp;INDEX('2 Measurements'!$F$2:$F$201,MATCH(A171,'2 Measurements'!$A$2:$A$201,0))),""))</f>
        <v/>
      </c>
      <c r="E171" s="10" t="str">
        <f aca="false">IF(A171="","",IF(SUMPRODUCT(--EXACT('2 Measurements'!$A$2:$A$201,A171))=0,"Not on the Measurements sheet",IF(SUMPRODUCT(--EXACT($A$2:$A$201,A171))&gt;1,"Listed twice",IF(D171="","Topic could not be built: check the asset and the measurement",IF(COUNTIF($D$2:$D$201,D171)&gt;1,"Topic used twice","ok")))))</f>
        <v/>
      </c>
    </row>
    <row r="172" customFormat="false" ht="15" hidden="false" customHeight="false" outlineLevel="0" collapsed="false">
      <c r="A172" s="9"/>
      <c r="B172" s="9"/>
      <c r="C172" s="9"/>
      <c r="D172" s="10" t="str">
        <f aca="false">IF(A172="","",IFERROR(IF(INDEX('2 Measurements'!$B$2:$B$201,MATCH(A172,'2 Measurements'!$A$2:$A$201,0))="Measurement",'Read me'!$B$9&amp;"/"&amp;INDEX('2 Assets'!$F$2:$F$201,MATCH(INDEX('2 Measurements'!$C$2:$C$201,MATCH(A172,'2 Measurements'!$A$2:$A$201,0)),'2 Assets'!$A$2:$A$201,0))&amp;"/"&amp;INDEX('2 Measurements'!$F$2:$F$201,MATCH(A172,'2 Measurements'!$A$2:$A$201,0)),'Read me'!$B$10&amp;"/"&amp;IFERROR(IF(INDEX('2 Assets'!$E$2:$E$201,MATCH(INDEX('2 Assets'!$M$2:$M$201,MATCH(INDEX('2 Measurements'!$C$2:$C$201,MATCH(A172,'2 Measurements'!$A$2:$A$201,0)),'2 Assets'!$A$2:$A$201,0)),'2 Assets'!$A$2:$A$201,0))="",INDEX('2 Assets'!$M$2:$M$201,MATCH(INDEX('2 Measurements'!$C$2:$C$201,MATCH(A172,'2 Measurements'!$A$2:$A$201,0)),'2 Assets'!$A$2:$A$201,0)),INDEX('2 Assets'!$E$2:$E$201,MATCH(INDEX('2 Assets'!$M$2:$M$201,MATCH(INDEX('2 Measurements'!$C$2:$C$201,MATCH(A172,'2 Measurements'!$A$2:$A$201,0)),'2 Assets'!$A$2:$A$201,0)),'2 Assets'!$A$2:$A$201,0))),INDEX('2 Assets'!$M$2:$M$201,MATCH(INDEX('2 Measurements'!$C$2:$C$201,MATCH(A172,'2 Measurements'!$A$2:$A$201,0)),'2 Assets'!$A$2:$A$201,0)))&amp;"/"&amp;INDEX('2 Measurements'!$C$2:$C$201,MATCH(A172,'2 Measurements'!$A$2:$A$201,0))&amp;"/"&amp;INDEX('2 Measurements'!$F$2:$F$201,MATCH(A172,'2 Measurements'!$A$2:$A$201,0))),""))</f>
        <v/>
      </c>
      <c r="E172" s="10" t="str">
        <f aca="false">IF(A172="","",IF(SUMPRODUCT(--EXACT('2 Measurements'!$A$2:$A$201,A172))=0,"Not on the Measurements sheet",IF(SUMPRODUCT(--EXACT($A$2:$A$201,A172))&gt;1,"Listed twice",IF(D172="","Topic could not be built: check the asset and the measurement",IF(COUNTIF($D$2:$D$201,D172)&gt;1,"Topic used twice","ok")))))</f>
        <v/>
      </c>
    </row>
    <row r="173" customFormat="false" ht="15" hidden="false" customHeight="false" outlineLevel="0" collapsed="false">
      <c r="A173" s="9"/>
      <c r="B173" s="9"/>
      <c r="C173" s="9"/>
      <c r="D173" s="10" t="str">
        <f aca="false">IF(A173="","",IFERROR(IF(INDEX('2 Measurements'!$B$2:$B$201,MATCH(A173,'2 Measurements'!$A$2:$A$201,0))="Measurement",'Read me'!$B$9&amp;"/"&amp;INDEX('2 Assets'!$F$2:$F$201,MATCH(INDEX('2 Measurements'!$C$2:$C$201,MATCH(A173,'2 Measurements'!$A$2:$A$201,0)),'2 Assets'!$A$2:$A$201,0))&amp;"/"&amp;INDEX('2 Measurements'!$F$2:$F$201,MATCH(A173,'2 Measurements'!$A$2:$A$201,0)),'Read me'!$B$10&amp;"/"&amp;IFERROR(IF(INDEX('2 Assets'!$E$2:$E$201,MATCH(INDEX('2 Assets'!$M$2:$M$201,MATCH(INDEX('2 Measurements'!$C$2:$C$201,MATCH(A173,'2 Measurements'!$A$2:$A$201,0)),'2 Assets'!$A$2:$A$201,0)),'2 Assets'!$A$2:$A$201,0))="",INDEX('2 Assets'!$M$2:$M$201,MATCH(INDEX('2 Measurements'!$C$2:$C$201,MATCH(A173,'2 Measurements'!$A$2:$A$201,0)),'2 Assets'!$A$2:$A$201,0)),INDEX('2 Assets'!$E$2:$E$201,MATCH(INDEX('2 Assets'!$M$2:$M$201,MATCH(INDEX('2 Measurements'!$C$2:$C$201,MATCH(A173,'2 Measurements'!$A$2:$A$201,0)),'2 Assets'!$A$2:$A$201,0)),'2 Assets'!$A$2:$A$201,0))),INDEX('2 Assets'!$M$2:$M$201,MATCH(INDEX('2 Measurements'!$C$2:$C$201,MATCH(A173,'2 Measurements'!$A$2:$A$201,0)),'2 Assets'!$A$2:$A$201,0)))&amp;"/"&amp;INDEX('2 Measurements'!$C$2:$C$201,MATCH(A173,'2 Measurements'!$A$2:$A$201,0))&amp;"/"&amp;INDEX('2 Measurements'!$F$2:$F$201,MATCH(A173,'2 Measurements'!$A$2:$A$201,0))),""))</f>
        <v/>
      </c>
      <c r="E173" s="10" t="str">
        <f aca="false">IF(A173="","",IF(SUMPRODUCT(--EXACT('2 Measurements'!$A$2:$A$201,A173))=0,"Not on the Measurements sheet",IF(SUMPRODUCT(--EXACT($A$2:$A$201,A173))&gt;1,"Listed twice",IF(D173="","Topic could not be built: check the asset and the measurement",IF(COUNTIF($D$2:$D$201,D173)&gt;1,"Topic used twice","ok")))))</f>
        <v/>
      </c>
    </row>
    <row r="174" customFormat="false" ht="15" hidden="false" customHeight="false" outlineLevel="0" collapsed="false">
      <c r="A174" s="9"/>
      <c r="B174" s="9"/>
      <c r="C174" s="9"/>
      <c r="D174" s="10" t="str">
        <f aca="false">IF(A174="","",IFERROR(IF(INDEX('2 Measurements'!$B$2:$B$201,MATCH(A174,'2 Measurements'!$A$2:$A$201,0))="Measurement",'Read me'!$B$9&amp;"/"&amp;INDEX('2 Assets'!$F$2:$F$201,MATCH(INDEX('2 Measurements'!$C$2:$C$201,MATCH(A174,'2 Measurements'!$A$2:$A$201,0)),'2 Assets'!$A$2:$A$201,0))&amp;"/"&amp;INDEX('2 Measurements'!$F$2:$F$201,MATCH(A174,'2 Measurements'!$A$2:$A$201,0)),'Read me'!$B$10&amp;"/"&amp;IFERROR(IF(INDEX('2 Assets'!$E$2:$E$201,MATCH(INDEX('2 Assets'!$M$2:$M$201,MATCH(INDEX('2 Measurements'!$C$2:$C$201,MATCH(A174,'2 Measurements'!$A$2:$A$201,0)),'2 Assets'!$A$2:$A$201,0)),'2 Assets'!$A$2:$A$201,0))="",INDEX('2 Assets'!$M$2:$M$201,MATCH(INDEX('2 Measurements'!$C$2:$C$201,MATCH(A174,'2 Measurements'!$A$2:$A$201,0)),'2 Assets'!$A$2:$A$201,0)),INDEX('2 Assets'!$E$2:$E$201,MATCH(INDEX('2 Assets'!$M$2:$M$201,MATCH(INDEX('2 Measurements'!$C$2:$C$201,MATCH(A174,'2 Measurements'!$A$2:$A$201,0)),'2 Assets'!$A$2:$A$201,0)),'2 Assets'!$A$2:$A$201,0))),INDEX('2 Assets'!$M$2:$M$201,MATCH(INDEX('2 Measurements'!$C$2:$C$201,MATCH(A174,'2 Measurements'!$A$2:$A$201,0)),'2 Assets'!$A$2:$A$201,0)))&amp;"/"&amp;INDEX('2 Measurements'!$C$2:$C$201,MATCH(A174,'2 Measurements'!$A$2:$A$201,0))&amp;"/"&amp;INDEX('2 Measurements'!$F$2:$F$201,MATCH(A174,'2 Measurements'!$A$2:$A$201,0))),""))</f>
        <v/>
      </c>
      <c r="E174" s="10" t="str">
        <f aca="false">IF(A174="","",IF(SUMPRODUCT(--EXACT('2 Measurements'!$A$2:$A$201,A174))=0,"Not on the Measurements sheet",IF(SUMPRODUCT(--EXACT($A$2:$A$201,A174))&gt;1,"Listed twice",IF(D174="","Topic could not be built: check the asset and the measurement",IF(COUNTIF($D$2:$D$201,D174)&gt;1,"Topic used twice","ok")))))</f>
        <v/>
      </c>
    </row>
    <row r="175" customFormat="false" ht="15" hidden="false" customHeight="false" outlineLevel="0" collapsed="false">
      <c r="A175" s="9"/>
      <c r="B175" s="9"/>
      <c r="C175" s="9"/>
      <c r="D175" s="10" t="str">
        <f aca="false">IF(A175="","",IFERROR(IF(INDEX('2 Measurements'!$B$2:$B$201,MATCH(A175,'2 Measurements'!$A$2:$A$201,0))="Measurement",'Read me'!$B$9&amp;"/"&amp;INDEX('2 Assets'!$F$2:$F$201,MATCH(INDEX('2 Measurements'!$C$2:$C$201,MATCH(A175,'2 Measurements'!$A$2:$A$201,0)),'2 Assets'!$A$2:$A$201,0))&amp;"/"&amp;INDEX('2 Measurements'!$F$2:$F$201,MATCH(A175,'2 Measurements'!$A$2:$A$201,0)),'Read me'!$B$10&amp;"/"&amp;IFERROR(IF(INDEX('2 Assets'!$E$2:$E$201,MATCH(INDEX('2 Assets'!$M$2:$M$201,MATCH(INDEX('2 Measurements'!$C$2:$C$201,MATCH(A175,'2 Measurements'!$A$2:$A$201,0)),'2 Assets'!$A$2:$A$201,0)),'2 Assets'!$A$2:$A$201,0))="",INDEX('2 Assets'!$M$2:$M$201,MATCH(INDEX('2 Measurements'!$C$2:$C$201,MATCH(A175,'2 Measurements'!$A$2:$A$201,0)),'2 Assets'!$A$2:$A$201,0)),INDEX('2 Assets'!$E$2:$E$201,MATCH(INDEX('2 Assets'!$M$2:$M$201,MATCH(INDEX('2 Measurements'!$C$2:$C$201,MATCH(A175,'2 Measurements'!$A$2:$A$201,0)),'2 Assets'!$A$2:$A$201,0)),'2 Assets'!$A$2:$A$201,0))),INDEX('2 Assets'!$M$2:$M$201,MATCH(INDEX('2 Measurements'!$C$2:$C$201,MATCH(A175,'2 Measurements'!$A$2:$A$201,0)),'2 Assets'!$A$2:$A$201,0)))&amp;"/"&amp;INDEX('2 Measurements'!$C$2:$C$201,MATCH(A175,'2 Measurements'!$A$2:$A$201,0))&amp;"/"&amp;INDEX('2 Measurements'!$F$2:$F$201,MATCH(A175,'2 Measurements'!$A$2:$A$201,0))),""))</f>
        <v/>
      </c>
      <c r="E175" s="10" t="str">
        <f aca="false">IF(A175="","",IF(SUMPRODUCT(--EXACT('2 Measurements'!$A$2:$A$201,A175))=0,"Not on the Measurements sheet",IF(SUMPRODUCT(--EXACT($A$2:$A$201,A175))&gt;1,"Listed twice",IF(D175="","Topic could not be built: check the asset and the measurement",IF(COUNTIF($D$2:$D$201,D175)&gt;1,"Topic used twice","ok")))))</f>
        <v/>
      </c>
    </row>
    <row r="176" customFormat="false" ht="15" hidden="false" customHeight="false" outlineLevel="0" collapsed="false">
      <c r="A176" s="9"/>
      <c r="B176" s="9"/>
      <c r="C176" s="9"/>
      <c r="D176" s="10" t="str">
        <f aca="false">IF(A176="","",IFERROR(IF(INDEX('2 Measurements'!$B$2:$B$201,MATCH(A176,'2 Measurements'!$A$2:$A$201,0))="Measurement",'Read me'!$B$9&amp;"/"&amp;INDEX('2 Assets'!$F$2:$F$201,MATCH(INDEX('2 Measurements'!$C$2:$C$201,MATCH(A176,'2 Measurements'!$A$2:$A$201,0)),'2 Assets'!$A$2:$A$201,0))&amp;"/"&amp;INDEX('2 Measurements'!$F$2:$F$201,MATCH(A176,'2 Measurements'!$A$2:$A$201,0)),'Read me'!$B$10&amp;"/"&amp;IFERROR(IF(INDEX('2 Assets'!$E$2:$E$201,MATCH(INDEX('2 Assets'!$M$2:$M$201,MATCH(INDEX('2 Measurements'!$C$2:$C$201,MATCH(A176,'2 Measurements'!$A$2:$A$201,0)),'2 Assets'!$A$2:$A$201,0)),'2 Assets'!$A$2:$A$201,0))="",INDEX('2 Assets'!$M$2:$M$201,MATCH(INDEX('2 Measurements'!$C$2:$C$201,MATCH(A176,'2 Measurements'!$A$2:$A$201,0)),'2 Assets'!$A$2:$A$201,0)),INDEX('2 Assets'!$E$2:$E$201,MATCH(INDEX('2 Assets'!$M$2:$M$201,MATCH(INDEX('2 Measurements'!$C$2:$C$201,MATCH(A176,'2 Measurements'!$A$2:$A$201,0)),'2 Assets'!$A$2:$A$201,0)),'2 Assets'!$A$2:$A$201,0))),INDEX('2 Assets'!$M$2:$M$201,MATCH(INDEX('2 Measurements'!$C$2:$C$201,MATCH(A176,'2 Measurements'!$A$2:$A$201,0)),'2 Assets'!$A$2:$A$201,0)))&amp;"/"&amp;INDEX('2 Measurements'!$C$2:$C$201,MATCH(A176,'2 Measurements'!$A$2:$A$201,0))&amp;"/"&amp;INDEX('2 Measurements'!$F$2:$F$201,MATCH(A176,'2 Measurements'!$A$2:$A$201,0))),""))</f>
        <v/>
      </c>
      <c r="E176" s="10" t="str">
        <f aca="false">IF(A176="","",IF(SUMPRODUCT(--EXACT('2 Measurements'!$A$2:$A$201,A176))=0,"Not on the Measurements sheet",IF(SUMPRODUCT(--EXACT($A$2:$A$201,A176))&gt;1,"Listed twice",IF(D176="","Topic could not be built: check the asset and the measurement",IF(COUNTIF($D$2:$D$201,D176)&gt;1,"Topic used twice","ok")))))</f>
        <v/>
      </c>
    </row>
    <row r="177" customFormat="false" ht="15" hidden="false" customHeight="false" outlineLevel="0" collapsed="false">
      <c r="A177" s="9"/>
      <c r="B177" s="9"/>
      <c r="C177" s="9"/>
      <c r="D177" s="10" t="str">
        <f aca="false">IF(A177="","",IFERROR(IF(INDEX('2 Measurements'!$B$2:$B$201,MATCH(A177,'2 Measurements'!$A$2:$A$201,0))="Measurement",'Read me'!$B$9&amp;"/"&amp;INDEX('2 Assets'!$F$2:$F$201,MATCH(INDEX('2 Measurements'!$C$2:$C$201,MATCH(A177,'2 Measurements'!$A$2:$A$201,0)),'2 Assets'!$A$2:$A$201,0))&amp;"/"&amp;INDEX('2 Measurements'!$F$2:$F$201,MATCH(A177,'2 Measurements'!$A$2:$A$201,0)),'Read me'!$B$10&amp;"/"&amp;IFERROR(IF(INDEX('2 Assets'!$E$2:$E$201,MATCH(INDEX('2 Assets'!$M$2:$M$201,MATCH(INDEX('2 Measurements'!$C$2:$C$201,MATCH(A177,'2 Measurements'!$A$2:$A$201,0)),'2 Assets'!$A$2:$A$201,0)),'2 Assets'!$A$2:$A$201,0))="",INDEX('2 Assets'!$M$2:$M$201,MATCH(INDEX('2 Measurements'!$C$2:$C$201,MATCH(A177,'2 Measurements'!$A$2:$A$201,0)),'2 Assets'!$A$2:$A$201,0)),INDEX('2 Assets'!$E$2:$E$201,MATCH(INDEX('2 Assets'!$M$2:$M$201,MATCH(INDEX('2 Measurements'!$C$2:$C$201,MATCH(A177,'2 Measurements'!$A$2:$A$201,0)),'2 Assets'!$A$2:$A$201,0)),'2 Assets'!$A$2:$A$201,0))),INDEX('2 Assets'!$M$2:$M$201,MATCH(INDEX('2 Measurements'!$C$2:$C$201,MATCH(A177,'2 Measurements'!$A$2:$A$201,0)),'2 Assets'!$A$2:$A$201,0)))&amp;"/"&amp;INDEX('2 Measurements'!$C$2:$C$201,MATCH(A177,'2 Measurements'!$A$2:$A$201,0))&amp;"/"&amp;INDEX('2 Measurements'!$F$2:$F$201,MATCH(A177,'2 Measurements'!$A$2:$A$201,0))),""))</f>
        <v/>
      </c>
      <c r="E177" s="10" t="str">
        <f aca="false">IF(A177="","",IF(SUMPRODUCT(--EXACT('2 Measurements'!$A$2:$A$201,A177))=0,"Not on the Measurements sheet",IF(SUMPRODUCT(--EXACT($A$2:$A$201,A177))&gt;1,"Listed twice",IF(D177="","Topic could not be built: check the asset and the measurement",IF(COUNTIF($D$2:$D$201,D177)&gt;1,"Topic used twice","ok")))))</f>
        <v/>
      </c>
    </row>
    <row r="178" customFormat="false" ht="15" hidden="false" customHeight="false" outlineLevel="0" collapsed="false">
      <c r="A178" s="9"/>
      <c r="B178" s="9"/>
      <c r="C178" s="9"/>
      <c r="D178" s="10" t="str">
        <f aca="false">IF(A178="","",IFERROR(IF(INDEX('2 Measurements'!$B$2:$B$201,MATCH(A178,'2 Measurements'!$A$2:$A$201,0))="Measurement",'Read me'!$B$9&amp;"/"&amp;INDEX('2 Assets'!$F$2:$F$201,MATCH(INDEX('2 Measurements'!$C$2:$C$201,MATCH(A178,'2 Measurements'!$A$2:$A$201,0)),'2 Assets'!$A$2:$A$201,0))&amp;"/"&amp;INDEX('2 Measurements'!$F$2:$F$201,MATCH(A178,'2 Measurements'!$A$2:$A$201,0)),'Read me'!$B$10&amp;"/"&amp;IFERROR(IF(INDEX('2 Assets'!$E$2:$E$201,MATCH(INDEX('2 Assets'!$M$2:$M$201,MATCH(INDEX('2 Measurements'!$C$2:$C$201,MATCH(A178,'2 Measurements'!$A$2:$A$201,0)),'2 Assets'!$A$2:$A$201,0)),'2 Assets'!$A$2:$A$201,0))="",INDEX('2 Assets'!$M$2:$M$201,MATCH(INDEX('2 Measurements'!$C$2:$C$201,MATCH(A178,'2 Measurements'!$A$2:$A$201,0)),'2 Assets'!$A$2:$A$201,0)),INDEX('2 Assets'!$E$2:$E$201,MATCH(INDEX('2 Assets'!$M$2:$M$201,MATCH(INDEX('2 Measurements'!$C$2:$C$201,MATCH(A178,'2 Measurements'!$A$2:$A$201,0)),'2 Assets'!$A$2:$A$201,0)),'2 Assets'!$A$2:$A$201,0))),INDEX('2 Assets'!$M$2:$M$201,MATCH(INDEX('2 Measurements'!$C$2:$C$201,MATCH(A178,'2 Measurements'!$A$2:$A$201,0)),'2 Assets'!$A$2:$A$201,0)))&amp;"/"&amp;INDEX('2 Measurements'!$C$2:$C$201,MATCH(A178,'2 Measurements'!$A$2:$A$201,0))&amp;"/"&amp;INDEX('2 Measurements'!$F$2:$F$201,MATCH(A178,'2 Measurements'!$A$2:$A$201,0))),""))</f>
        <v/>
      </c>
      <c r="E178" s="10" t="str">
        <f aca="false">IF(A178="","",IF(SUMPRODUCT(--EXACT('2 Measurements'!$A$2:$A$201,A178))=0,"Not on the Measurements sheet",IF(SUMPRODUCT(--EXACT($A$2:$A$201,A178))&gt;1,"Listed twice",IF(D178="","Topic could not be built: check the asset and the measurement",IF(COUNTIF($D$2:$D$201,D178)&gt;1,"Topic used twice","ok")))))</f>
        <v/>
      </c>
    </row>
    <row r="179" customFormat="false" ht="15" hidden="false" customHeight="false" outlineLevel="0" collapsed="false">
      <c r="A179" s="9"/>
      <c r="B179" s="9"/>
      <c r="C179" s="9"/>
      <c r="D179" s="10" t="str">
        <f aca="false">IF(A179="","",IFERROR(IF(INDEX('2 Measurements'!$B$2:$B$201,MATCH(A179,'2 Measurements'!$A$2:$A$201,0))="Measurement",'Read me'!$B$9&amp;"/"&amp;INDEX('2 Assets'!$F$2:$F$201,MATCH(INDEX('2 Measurements'!$C$2:$C$201,MATCH(A179,'2 Measurements'!$A$2:$A$201,0)),'2 Assets'!$A$2:$A$201,0))&amp;"/"&amp;INDEX('2 Measurements'!$F$2:$F$201,MATCH(A179,'2 Measurements'!$A$2:$A$201,0)),'Read me'!$B$10&amp;"/"&amp;IFERROR(IF(INDEX('2 Assets'!$E$2:$E$201,MATCH(INDEX('2 Assets'!$M$2:$M$201,MATCH(INDEX('2 Measurements'!$C$2:$C$201,MATCH(A179,'2 Measurements'!$A$2:$A$201,0)),'2 Assets'!$A$2:$A$201,0)),'2 Assets'!$A$2:$A$201,0))="",INDEX('2 Assets'!$M$2:$M$201,MATCH(INDEX('2 Measurements'!$C$2:$C$201,MATCH(A179,'2 Measurements'!$A$2:$A$201,0)),'2 Assets'!$A$2:$A$201,0)),INDEX('2 Assets'!$E$2:$E$201,MATCH(INDEX('2 Assets'!$M$2:$M$201,MATCH(INDEX('2 Measurements'!$C$2:$C$201,MATCH(A179,'2 Measurements'!$A$2:$A$201,0)),'2 Assets'!$A$2:$A$201,0)),'2 Assets'!$A$2:$A$201,0))),INDEX('2 Assets'!$M$2:$M$201,MATCH(INDEX('2 Measurements'!$C$2:$C$201,MATCH(A179,'2 Measurements'!$A$2:$A$201,0)),'2 Assets'!$A$2:$A$201,0)))&amp;"/"&amp;INDEX('2 Measurements'!$C$2:$C$201,MATCH(A179,'2 Measurements'!$A$2:$A$201,0))&amp;"/"&amp;INDEX('2 Measurements'!$F$2:$F$201,MATCH(A179,'2 Measurements'!$A$2:$A$201,0))),""))</f>
        <v/>
      </c>
      <c r="E179" s="10" t="str">
        <f aca="false">IF(A179="","",IF(SUMPRODUCT(--EXACT('2 Measurements'!$A$2:$A$201,A179))=0,"Not on the Measurements sheet",IF(SUMPRODUCT(--EXACT($A$2:$A$201,A179))&gt;1,"Listed twice",IF(D179="","Topic could not be built: check the asset and the measurement",IF(COUNTIF($D$2:$D$201,D179)&gt;1,"Topic used twice","ok")))))</f>
        <v/>
      </c>
    </row>
    <row r="180" customFormat="false" ht="15" hidden="false" customHeight="false" outlineLevel="0" collapsed="false">
      <c r="A180" s="9"/>
      <c r="B180" s="9"/>
      <c r="C180" s="9"/>
      <c r="D180" s="10" t="str">
        <f aca="false">IF(A180="","",IFERROR(IF(INDEX('2 Measurements'!$B$2:$B$201,MATCH(A180,'2 Measurements'!$A$2:$A$201,0))="Measurement",'Read me'!$B$9&amp;"/"&amp;INDEX('2 Assets'!$F$2:$F$201,MATCH(INDEX('2 Measurements'!$C$2:$C$201,MATCH(A180,'2 Measurements'!$A$2:$A$201,0)),'2 Assets'!$A$2:$A$201,0))&amp;"/"&amp;INDEX('2 Measurements'!$F$2:$F$201,MATCH(A180,'2 Measurements'!$A$2:$A$201,0)),'Read me'!$B$10&amp;"/"&amp;IFERROR(IF(INDEX('2 Assets'!$E$2:$E$201,MATCH(INDEX('2 Assets'!$M$2:$M$201,MATCH(INDEX('2 Measurements'!$C$2:$C$201,MATCH(A180,'2 Measurements'!$A$2:$A$201,0)),'2 Assets'!$A$2:$A$201,0)),'2 Assets'!$A$2:$A$201,0))="",INDEX('2 Assets'!$M$2:$M$201,MATCH(INDEX('2 Measurements'!$C$2:$C$201,MATCH(A180,'2 Measurements'!$A$2:$A$201,0)),'2 Assets'!$A$2:$A$201,0)),INDEX('2 Assets'!$E$2:$E$201,MATCH(INDEX('2 Assets'!$M$2:$M$201,MATCH(INDEX('2 Measurements'!$C$2:$C$201,MATCH(A180,'2 Measurements'!$A$2:$A$201,0)),'2 Assets'!$A$2:$A$201,0)),'2 Assets'!$A$2:$A$201,0))),INDEX('2 Assets'!$M$2:$M$201,MATCH(INDEX('2 Measurements'!$C$2:$C$201,MATCH(A180,'2 Measurements'!$A$2:$A$201,0)),'2 Assets'!$A$2:$A$201,0)))&amp;"/"&amp;INDEX('2 Measurements'!$C$2:$C$201,MATCH(A180,'2 Measurements'!$A$2:$A$201,0))&amp;"/"&amp;INDEX('2 Measurements'!$F$2:$F$201,MATCH(A180,'2 Measurements'!$A$2:$A$201,0))),""))</f>
        <v/>
      </c>
      <c r="E180" s="10" t="str">
        <f aca="false">IF(A180="","",IF(SUMPRODUCT(--EXACT('2 Measurements'!$A$2:$A$201,A180))=0,"Not on the Measurements sheet",IF(SUMPRODUCT(--EXACT($A$2:$A$201,A180))&gt;1,"Listed twice",IF(D180="","Topic could not be built: check the asset and the measurement",IF(COUNTIF($D$2:$D$201,D180)&gt;1,"Topic used twice","ok")))))</f>
        <v/>
      </c>
    </row>
    <row r="181" customFormat="false" ht="15" hidden="false" customHeight="false" outlineLevel="0" collapsed="false">
      <c r="A181" s="9"/>
      <c r="B181" s="9"/>
      <c r="C181" s="9"/>
      <c r="D181" s="10" t="str">
        <f aca="false">IF(A181="","",IFERROR(IF(INDEX('2 Measurements'!$B$2:$B$201,MATCH(A181,'2 Measurements'!$A$2:$A$201,0))="Measurement",'Read me'!$B$9&amp;"/"&amp;INDEX('2 Assets'!$F$2:$F$201,MATCH(INDEX('2 Measurements'!$C$2:$C$201,MATCH(A181,'2 Measurements'!$A$2:$A$201,0)),'2 Assets'!$A$2:$A$201,0))&amp;"/"&amp;INDEX('2 Measurements'!$F$2:$F$201,MATCH(A181,'2 Measurements'!$A$2:$A$201,0)),'Read me'!$B$10&amp;"/"&amp;IFERROR(IF(INDEX('2 Assets'!$E$2:$E$201,MATCH(INDEX('2 Assets'!$M$2:$M$201,MATCH(INDEX('2 Measurements'!$C$2:$C$201,MATCH(A181,'2 Measurements'!$A$2:$A$201,0)),'2 Assets'!$A$2:$A$201,0)),'2 Assets'!$A$2:$A$201,0))="",INDEX('2 Assets'!$M$2:$M$201,MATCH(INDEX('2 Measurements'!$C$2:$C$201,MATCH(A181,'2 Measurements'!$A$2:$A$201,0)),'2 Assets'!$A$2:$A$201,0)),INDEX('2 Assets'!$E$2:$E$201,MATCH(INDEX('2 Assets'!$M$2:$M$201,MATCH(INDEX('2 Measurements'!$C$2:$C$201,MATCH(A181,'2 Measurements'!$A$2:$A$201,0)),'2 Assets'!$A$2:$A$201,0)),'2 Assets'!$A$2:$A$201,0))),INDEX('2 Assets'!$M$2:$M$201,MATCH(INDEX('2 Measurements'!$C$2:$C$201,MATCH(A181,'2 Measurements'!$A$2:$A$201,0)),'2 Assets'!$A$2:$A$201,0)))&amp;"/"&amp;INDEX('2 Measurements'!$C$2:$C$201,MATCH(A181,'2 Measurements'!$A$2:$A$201,0))&amp;"/"&amp;INDEX('2 Measurements'!$F$2:$F$201,MATCH(A181,'2 Measurements'!$A$2:$A$201,0))),""))</f>
        <v/>
      </c>
      <c r="E181" s="10" t="str">
        <f aca="false">IF(A181="","",IF(SUMPRODUCT(--EXACT('2 Measurements'!$A$2:$A$201,A181))=0,"Not on the Measurements sheet",IF(SUMPRODUCT(--EXACT($A$2:$A$201,A181))&gt;1,"Listed twice",IF(D181="","Topic could not be built: check the asset and the measurement",IF(COUNTIF($D$2:$D$201,D181)&gt;1,"Topic used twice","ok")))))</f>
        <v/>
      </c>
    </row>
    <row r="182" customFormat="false" ht="15" hidden="false" customHeight="false" outlineLevel="0" collapsed="false">
      <c r="A182" s="9"/>
      <c r="B182" s="9"/>
      <c r="C182" s="9"/>
      <c r="D182" s="10" t="str">
        <f aca="false">IF(A182="","",IFERROR(IF(INDEX('2 Measurements'!$B$2:$B$201,MATCH(A182,'2 Measurements'!$A$2:$A$201,0))="Measurement",'Read me'!$B$9&amp;"/"&amp;INDEX('2 Assets'!$F$2:$F$201,MATCH(INDEX('2 Measurements'!$C$2:$C$201,MATCH(A182,'2 Measurements'!$A$2:$A$201,0)),'2 Assets'!$A$2:$A$201,0))&amp;"/"&amp;INDEX('2 Measurements'!$F$2:$F$201,MATCH(A182,'2 Measurements'!$A$2:$A$201,0)),'Read me'!$B$10&amp;"/"&amp;IFERROR(IF(INDEX('2 Assets'!$E$2:$E$201,MATCH(INDEX('2 Assets'!$M$2:$M$201,MATCH(INDEX('2 Measurements'!$C$2:$C$201,MATCH(A182,'2 Measurements'!$A$2:$A$201,0)),'2 Assets'!$A$2:$A$201,0)),'2 Assets'!$A$2:$A$201,0))="",INDEX('2 Assets'!$M$2:$M$201,MATCH(INDEX('2 Measurements'!$C$2:$C$201,MATCH(A182,'2 Measurements'!$A$2:$A$201,0)),'2 Assets'!$A$2:$A$201,0)),INDEX('2 Assets'!$E$2:$E$201,MATCH(INDEX('2 Assets'!$M$2:$M$201,MATCH(INDEX('2 Measurements'!$C$2:$C$201,MATCH(A182,'2 Measurements'!$A$2:$A$201,0)),'2 Assets'!$A$2:$A$201,0)),'2 Assets'!$A$2:$A$201,0))),INDEX('2 Assets'!$M$2:$M$201,MATCH(INDEX('2 Measurements'!$C$2:$C$201,MATCH(A182,'2 Measurements'!$A$2:$A$201,0)),'2 Assets'!$A$2:$A$201,0)))&amp;"/"&amp;INDEX('2 Measurements'!$C$2:$C$201,MATCH(A182,'2 Measurements'!$A$2:$A$201,0))&amp;"/"&amp;INDEX('2 Measurements'!$F$2:$F$201,MATCH(A182,'2 Measurements'!$A$2:$A$201,0))),""))</f>
        <v/>
      </c>
      <c r="E182" s="10" t="str">
        <f aca="false">IF(A182="","",IF(SUMPRODUCT(--EXACT('2 Measurements'!$A$2:$A$201,A182))=0,"Not on the Measurements sheet",IF(SUMPRODUCT(--EXACT($A$2:$A$201,A182))&gt;1,"Listed twice",IF(D182="","Topic could not be built: check the asset and the measurement",IF(COUNTIF($D$2:$D$201,D182)&gt;1,"Topic used twice","ok")))))</f>
        <v/>
      </c>
    </row>
    <row r="183" customFormat="false" ht="15" hidden="false" customHeight="false" outlineLevel="0" collapsed="false">
      <c r="A183" s="9"/>
      <c r="B183" s="9"/>
      <c r="C183" s="9"/>
      <c r="D183" s="10" t="str">
        <f aca="false">IF(A183="","",IFERROR(IF(INDEX('2 Measurements'!$B$2:$B$201,MATCH(A183,'2 Measurements'!$A$2:$A$201,0))="Measurement",'Read me'!$B$9&amp;"/"&amp;INDEX('2 Assets'!$F$2:$F$201,MATCH(INDEX('2 Measurements'!$C$2:$C$201,MATCH(A183,'2 Measurements'!$A$2:$A$201,0)),'2 Assets'!$A$2:$A$201,0))&amp;"/"&amp;INDEX('2 Measurements'!$F$2:$F$201,MATCH(A183,'2 Measurements'!$A$2:$A$201,0)),'Read me'!$B$10&amp;"/"&amp;IFERROR(IF(INDEX('2 Assets'!$E$2:$E$201,MATCH(INDEX('2 Assets'!$M$2:$M$201,MATCH(INDEX('2 Measurements'!$C$2:$C$201,MATCH(A183,'2 Measurements'!$A$2:$A$201,0)),'2 Assets'!$A$2:$A$201,0)),'2 Assets'!$A$2:$A$201,0))="",INDEX('2 Assets'!$M$2:$M$201,MATCH(INDEX('2 Measurements'!$C$2:$C$201,MATCH(A183,'2 Measurements'!$A$2:$A$201,0)),'2 Assets'!$A$2:$A$201,0)),INDEX('2 Assets'!$E$2:$E$201,MATCH(INDEX('2 Assets'!$M$2:$M$201,MATCH(INDEX('2 Measurements'!$C$2:$C$201,MATCH(A183,'2 Measurements'!$A$2:$A$201,0)),'2 Assets'!$A$2:$A$201,0)),'2 Assets'!$A$2:$A$201,0))),INDEX('2 Assets'!$M$2:$M$201,MATCH(INDEX('2 Measurements'!$C$2:$C$201,MATCH(A183,'2 Measurements'!$A$2:$A$201,0)),'2 Assets'!$A$2:$A$201,0)))&amp;"/"&amp;INDEX('2 Measurements'!$C$2:$C$201,MATCH(A183,'2 Measurements'!$A$2:$A$201,0))&amp;"/"&amp;INDEX('2 Measurements'!$F$2:$F$201,MATCH(A183,'2 Measurements'!$A$2:$A$201,0))),""))</f>
        <v/>
      </c>
      <c r="E183" s="10" t="str">
        <f aca="false">IF(A183="","",IF(SUMPRODUCT(--EXACT('2 Measurements'!$A$2:$A$201,A183))=0,"Not on the Measurements sheet",IF(SUMPRODUCT(--EXACT($A$2:$A$201,A183))&gt;1,"Listed twice",IF(D183="","Topic could not be built: check the asset and the measurement",IF(COUNTIF($D$2:$D$201,D183)&gt;1,"Topic used twice","ok")))))</f>
        <v/>
      </c>
    </row>
    <row r="184" customFormat="false" ht="15" hidden="false" customHeight="false" outlineLevel="0" collapsed="false">
      <c r="A184" s="9"/>
      <c r="B184" s="9"/>
      <c r="C184" s="9"/>
      <c r="D184" s="10" t="str">
        <f aca="false">IF(A184="","",IFERROR(IF(INDEX('2 Measurements'!$B$2:$B$201,MATCH(A184,'2 Measurements'!$A$2:$A$201,0))="Measurement",'Read me'!$B$9&amp;"/"&amp;INDEX('2 Assets'!$F$2:$F$201,MATCH(INDEX('2 Measurements'!$C$2:$C$201,MATCH(A184,'2 Measurements'!$A$2:$A$201,0)),'2 Assets'!$A$2:$A$201,0))&amp;"/"&amp;INDEX('2 Measurements'!$F$2:$F$201,MATCH(A184,'2 Measurements'!$A$2:$A$201,0)),'Read me'!$B$10&amp;"/"&amp;IFERROR(IF(INDEX('2 Assets'!$E$2:$E$201,MATCH(INDEX('2 Assets'!$M$2:$M$201,MATCH(INDEX('2 Measurements'!$C$2:$C$201,MATCH(A184,'2 Measurements'!$A$2:$A$201,0)),'2 Assets'!$A$2:$A$201,0)),'2 Assets'!$A$2:$A$201,0))="",INDEX('2 Assets'!$M$2:$M$201,MATCH(INDEX('2 Measurements'!$C$2:$C$201,MATCH(A184,'2 Measurements'!$A$2:$A$201,0)),'2 Assets'!$A$2:$A$201,0)),INDEX('2 Assets'!$E$2:$E$201,MATCH(INDEX('2 Assets'!$M$2:$M$201,MATCH(INDEX('2 Measurements'!$C$2:$C$201,MATCH(A184,'2 Measurements'!$A$2:$A$201,0)),'2 Assets'!$A$2:$A$201,0)),'2 Assets'!$A$2:$A$201,0))),INDEX('2 Assets'!$M$2:$M$201,MATCH(INDEX('2 Measurements'!$C$2:$C$201,MATCH(A184,'2 Measurements'!$A$2:$A$201,0)),'2 Assets'!$A$2:$A$201,0)))&amp;"/"&amp;INDEX('2 Measurements'!$C$2:$C$201,MATCH(A184,'2 Measurements'!$A$2:$A$201,0))&amp;"/"&amp;INDEX('2 Measurements'!$F$2:$F$201,MATCH(A184,'2 Measurements'!$A$2:$A$201,0))),""))</f>
        <v/>
      </c>
      <c r="E184" s="10" t="str">
        <f aca="false">IF(A184="","",IF(SUMPRODUCT(--EXACT('2 Measurements'!$A$2:$A$201,A184))=0,"Not on the Measurements sheet",IF(SUMPRODUCT(--EXACT($A$2:$A$201,A184))&gt;1,"Listed twice",IF(D184="","Topic could not be built: check the asset and the measurement",IF(COUNTIF($D$2:$D$201,D184)&gt;1,"Topic used twice","ok")))))</f>
        <v/>
      </c>
    </row>
    <row r="185" customFormat="false" ht="15" hidden="false" customHeight="false" outlineLevel="0" collapsed="false">
      <c r="A185" s="9"/>
      <c r="B185" s="9"/>
      <c r="C185" s="9"/>
      <c r="D185" s="10" t="str">
        <f aca="false">IF(A185="","",IFERROR(IF(INDEX('2 Measurements'!$B$2:$B$201,MATCH(A185,'2 Measurements'!$A$2:$A$201,0))="Measurement",'Read me'!$B$9&amp;"/"&amp;INDEX('2 Assets'!$F$2:$F$201,MATCH(INDEX('2 Measurements'!$C$2:$C$201,MATCH(A185,'2 Measurements'!$A$2:$A$201,0)),'2 Assets'!$A$2:$A$201,0))&amp;"/"&amp;INDEX('2 Measurements'!$F$2:$F$201,MATCH(A185,'2 Measurements'!$A$2:$A$201,0)),'Read me'!$B$10&amp;"/"&amp;IFERROR(IF(INDEX('2 Assets'!$E$2:$E$201,MATCH(INDEX('2 Assets'!$M$2:$M$201,MATCH(INDEX('2 Measurements'!$C$2:$C$201,MATCH(A185,'2 Measurements'!$A$2:$A$201,0)),'2 Assets'!$A$2:$A$201,0)),'2 Assets'!$A$2:$A$201,0))="",INDEX('2 Assets'!$M$2:$M$201,MATCH(INDEX('2 Measurements'!$C$2:$C$201,MATCH(A185,'2 Measurements'!$A$2:$A$201,0)),'2 Assets'!$A$2:$A$201,0)),INDEX('2 Assets'!$E$2:$E$201,MATCH(INDEX('2 Assets'!$M$2:$M$201,MATCH(INDEX('2 Measurements'!$C$2:$C$201,MATCH(A185,'2 Measurements'!$A$2:$A$201,0)),'2 Assets'!$A$2:$A$201,0)),'2 Assets'!$A$2:$A$201,0))),INDEX('2 Assets'!$M$2:$M$201,MATCH(INDEX('2 Measurements'!$C$2:$C$201,MATCH(A185,'2 Measurements'!$A$2:$A$201,0)),'2 Assets'!$A$2:$A$201,0)))&amp;"/"&amp;INDEX('2 Measurements'!$C$2:$C$201,MATCH(A185,'2 Measurements'!$A$2:$A$201,0))&amp;"/"&amp;INDEX('2 Measurements'!$F$2:$F$201,MATCH(A185,'2 Measurements'!$A$2:$A$201,0))),""))</f>
        <v/>
      </c>
      <c r="E185" s="10" t="str">
        <f aca="false">IF(A185="","",IF(SUMPRODUCT(--EXACT('2 Measurements'!$A$2:$A$201,A185))=0,"Not on the Measurements sheet",IF(SUMPRODUCT(--EXACT($A$2:$A$201,A185))&gt;1,"Listed twice",IF(D185="","Topic could not be built: check the asset and the measurement",IF(COUNTIF($D$2:$D$201,D185)&gt;1,"Topic used twice","ok")))))</f>
        <v/>
      </c>
    </row>
    <row r="186" customFormat="false" ht="15" hidden="false" customHeight="false" outlineLevel="0" collapsed="false">
      <c r="A186" s="9"/>
      <c r="B186" s="9"/>
      <c r="C186" s="9"/>
      <c r="D186" s="10" t="str">
        <f aca="false">IF(A186="","",IFERROR(IF(INDEX('2 Measurements'!$B$2:$B$201,MATCH(A186,'2 Measurements'!$A$2:$A$201,0))="Measurement",'Read me'!$B$9&amp;"/"&amp;INDEX('2 Assets'!$F$2:$F$201,MATCH(INDEX('2 Measurements'!$C$2:$C$201,MATCH(A186,'2 Measurements'!$A$2:$A$201,0)),'2 Assets'!$A$2:$A$201,0))&amp;"/"&amp;INDEX('2 Measurements'!$F$2:$F$201,MATCH(A186,'2 Measurements'!$A$2:$A$201,0)),'Read me'!$B$10&amp;"/"&amp;IFERROR(IF(INDEX('2 Assets'!$E$2:$E$201,MATCH(INDEX('2 Assets'!$M$2:$M$201,MATCH(INDEX('2 Measurements'!$C$2:$C$201,MATCH(A186,'2 Measurements'!$A$2:$A$201,0)),'2 Assets'!$A$2:$A$201,0)),'2 Assets'!$A$2:$A$201,0))="",INDEX('2 Assets'!$M$2:$M$201,MATCH(INDEX('2 Measurements'!$C$2:$C$201,MATCH(A186,'2 Measurements'!$A$2:$A$201,0)),'2 Assets'!$A$2:$A$201,0)),INDEX('2 Assets'!$E$2:$E$201,MATCH(INDEX('2 Assets'!$M$2:$M$201,MATCH(INDEX('2 Measurements'!$C$2:$C$201,MATCH(A186,'2 Measurements'!$A$2:$A$201,0)),'2 Assets'!$A$2:$A$201,0)),'2 Assets'!$A$2:$A$201,0))),INDEX('2 Assets'!$M$2:$M$201,MATCH(INDEX('2 Measurements'!$C$2:$C$201,MATCH(A186,'2 Measurements'!$A$2:$A$201,0)),'2 Assets'!$A$2:$A$201,0)))&amp;"/"&amp;INDEX('2 Measurements'!$C$2:$C$201,MATCH(A186,'2 Measurements'!$A$2:$A$201,0))&amp;"/"&amp;INDEX('2 Measurements'!$F$2:$F$201,MATCH(A186,'2 Measurements'!$A$2:$A$201,0))),""))</f>
        <v/>
      </c>
      <c r="E186" s="10" t="str">
        <f aca="false">IF(A186="","",IF(SUMPRODUCT(--EXACT('2 Measurements'!$A$2:$A$201,A186))=0,"Not on the Measurements sheet",IF(SUMPRODUCT(--EXACT($A$2:$A$201,A186))&gt;1,"Listed twice",IF(D186="","Topic could not be built: check the asset and the measurement",IF(COUNTIF($D$2:$D$201,D186)&gt;1,"Topic used twice","ok")))))</f>
        <v/>
      </c>
    </row>
    <row r="187" customFormat="false" ht="15" hidden="false" customHeight="false" outlineLevel="0" collapsed="false">
      <c r="A187" s="9"/>
      <c r="B187" s="9"/>
      <c r="C187" s="9"/>
      <c r="D187" s="10" t="str">
        <f aca="false">IF(A187="","",IFERROR(IF(INDEX('2 Measurements'!$B$2:$B$201,MATCH(A187,'2 Measurements'!$A$2:$A$201,0))="Measurement",'Read me'!$B$9&amp;"/"&amp;INDEX('2 Assets'!$F$2:$F$201,MATCH(INDEX('2 Measurements'!$C$2:$C$201,MATCH(A187,'2 Measurements'!$A$2:$A$201,0)),'2 Assets'!$A$2:$A$201,0))&amp;"/"&amp;INDEX('2 Measurements'!$F$2:$F$201,MATCH(A187,'2 Measurements'!$A$2:$A$201,0)),'Read me'!$B$10&amp;"/"&amp;IFERROR(IF(INDEX('2 Assets'!$E$2:$E$201,MATCH(INDEX('2 Assets'!$M$2:$M$201,MATCH(INDEX('2 Measurements'!$C$2:$C$201,MATCH(A187,'2 Measurements'!$A$2:$A$201,0)),'2 Assets'!$A$2:$A$201,0)),'2 Assets'!$A$2:$A$201,0))="",INDEX('2 Assets'!$M$2:$M$201,MATCH(INDEX('2 Measurements'!$C$2:$C$201,MATCH(A187,'2 Measurements'!$A$2:$A$201,0)),'2 Assets'!$A$2:$A$201,0)),INDEX('2 Assets'!$E$2:$E$201,MATCH(INDEX('2 Assets'!$M$2:$M$201,MATCH(INDEX('2 Measurements'!$C$2:$C$201,MATCH(A187,'2 Measurements'!$A$2:$A$201,0)),'2 Assets'!$A$2:$A$201,0)),'2 Assets'!$A$2:$A$201,0))),INDEX('2 Assets'!$M$2:$M$201,MATCH(INDEX('2 Measurements'!$C$2:$C$201,MATCH(A187,'2 Measurements'!$A$2:$A$201,0)),'2 Assets'!$A$2:$A$201,0)))&amp;"/"&amp;INDEX('2 Measurements'!$C$2:$C$201,MATCH(A187,'2 Measurements'!$A$2:$A$201,0))&amp;"/"&amp;INDEX('2 Measurements'!$F$2:$F$201,MATCH(A187,'2 Measurements'!$A$2:$A$201,0))),""))</f>
        <v/>
      </c>
      <c r="E187" s="10" t="str">
        <f aca="false">IF(A187="","",IF(SUMPRODUCT(--EXACT('2 Measurements'!$A$2:$A$201,A187))=0,"Not on the Measurements sheet",IF(SUMPRODUCT(--EXACT($A$2:$A$201,A187))&gt;1,"Listed twice",IF(D187="","Topic could not be built: check the asset and the measurement",IF(COUNTIF($D$2:$D$201,D187)&gt;1,"Topic used twice","ok")))))</f>
        <v/>
      </c>
    </row>
    <row r="188" customFormat="false" ht="15" hidden="false" customHeight="false" outlineLevel="0" collapsed="false">
      <c r="A188" s="9"/>
      <c r="B188" s="9"/>
      <c r="C188" s="9"/>
      <c r="D188" s="10" t="str">
        <f aca="false">IF(A188="","",IFERROR(IF(INDEX('2 Measurements'!$B$2:$B$201,MATCH(A188,'2 Measurements'!$A$2:$A$201,0))="Measurement",'Read me'!$B$9&amp;"/"&amp;INDEX('2 Assets'!$F$2:$F$201,MATCH(INDEX('2 Measurements'!$C$2:$C$201,MATCH(A188,'2 Measurements'!$A$2:$A$201,0)),'2 Assets'!$A$2:$A$201,0))&amp;"/"&amp;INDEX('2 Measurements'!$F$2:$F$201,MATCH(A188,'2 Measurements'!$A$2:$A$201,0)),'Read me'!$B$10&amp;"/"&amp;IFERROR(IF(INDEX('2 Assets'!$E$2:$E$201,MATCH(INDEX('2 Assets'!$M$2:$M$201,MATCH(INDEX('2 Measurements'!$C$2:$C$201,MATCH(A188,'2 Measurements'!$A$2:$A$201,0)),'2 Assets'!$A$2:$A$201,0)),'2 Assets'!$A$2:$A$201,0))="",INDEX('2 Assets'!$M$2:$M$201,MATCH(INDEX('2 Measurements'!$C$2:$C$201,MATCH(A188,'2 Measurements'!$A$2:$A$201,0)),'2 Assets'!$A$2:$A$201,0)),INDEX('2 Assets'!$E$2:$E$201,MATCH(INDEX('2 Assets'!$M$2:$M$201,MATCH(INDEX('2 Measurements'!$C$2:$C$201,MATCH(A188,'2 Measurements'!$A$2:$A$201,0)),'2 Assets'!$A$2:$A$201,0)),'2 Assets'!$A$2:$A$201,0))),INDEX('2 Assets'!$M$2:$M$201,MATCH(INDEX('2 Measurements'!$C$2:$C$201,MATCH(A188,'2 Measurements'!$A$2:$A$201,0)),'2 Assets'!$A$2:$A$201,0)))&amp;"/"&amp;INDEX('2 Measurements'!$C$2:$C$201,MATCH(A188,'2 Measurements'!$A$2:$A$201,0))&amp;"/"&amp;INDEX('2 Measurements'!$F$2:$F$201,MATCH(A188,'2 Measurements'!$A$2:$A$201,0))),""))</f>
        <v/>
      </c>
      <c r="E188" s="10" t="str">
        <f aca="false">IF(A188="","",IF(SUMPRODUCT(--EXACT('2 Measurements'!$A$2:$A$201,A188))=0,"Not on the Measurements sheet",IF(SUMPRODUCT(--EXACT($A$2:$A$201,A188))&gt;1,"Listed twice",IF(D188="","Topic could not be built: check the asset and the measurement",IF(COUNTIF($D$2:$D$201,D188)&gt;1,"Topic used twice","ok")))))</f>
        <v/>
      </c>
    </row>
    <row r="189" customFormat="false" ht="15" hidden="false" customHeight="false" outlineLevel="0" collapsed="false">
      <c r="A189" s="9"/>
      <c r="B189" s="9"/>
      <c r="C189" s="9"/>
      <c r="D189" s="10" t="str">
        <f aca="false">IF(A189="","",IFERROR(IF(INDEX('2 Measurements'!$B$2:$B$201,MATCH(A189,'2 Measurements'!$A$2:$A$201,0))="Measurement",'Read me'!$B$9&amp;"/"&amp;INDEX('2 Assets'!$F$2:$F$201,MATCH(INDEX('2 Measurements'!$C$2:$C$201,MATCH(A189,'2 Measurements'!$A$2:$A$201,0)),'2 Assets'!$A$2:$A$201,0))&amp;"/"&amp;INDEX('2 Measurements'!$F$2:$F$201,MATCH(A189,'2 Measurements'!$A$2:$A$201,0)),'Read me'!$B$10&amp;"/"&amp;IFERROR(IF(INDEX('2 Assets'!$E$2:$E$201,MATCH(INDEX('2 Assets'!$M$2:$M$201,MATCH(INDEX('2 Measurements'!$C$2:$C$201,MATCH(A189,'2 Measurements'!$A$2:$A$201,0)),'2 Assets'!$A$2:$A$201,0)),'2 Assets'!$A$2:$A$201,0))="",INDEX('2 Assets'!$M$2:$M$201,MATCH(INDEX('2 Measurements'!$C$2:$C$201,MATCH(A189,'2 Measurements'!$A$2:$A$201,0)),'2 Assets'!$A$2:$A$201,0)),INDEX('2 Assets'!$E$2:$E$201,MATCH(INDEX('2 Assets'!$M$2:$M$201,MATCH(INDEX('2 Measurements'!$C$2:$C$201,MATCH(A189,'2 Measurements'!$A$2:$A$201,0)),'2 Assets'!$A$2:$A$201,0)),'2 Assets'!$A$2:$A$201,0))),INDEX('2 Assets'!$M$2:$M$201,MATCH(INDEX('2 Measurements'!$C$2:$C$201,MATCH(A189,'2 Measurements'!$A$2:$A$201,0)),'2 Assets'!$A$2:$A$201,0)))&amp;"/"&amp;INDEX('2 Measurements'!$C$2:$C$201,MATCH(A189,'2 Measurements'!$A$2:$A$201,0))&amp;"/"&amp;INDEX('2 Measurements'!$F$2:$F$201,MATCH(A189,'2 Measurements'!$A$2:$A$201,0))),""))</f>
        <v/>
      </c>
      <c r="E189" s="10" t="str">
        <f aca="false">IF(A189="","",IF(SUMPRODUCT(--EXACT('2 Measurements'!$A$2:$A$201,A189))=0,"Not on the Measurements sheet",IF(SUMPRODUCT(--EXACT($A$2:$A$201,A189))&gt;1,"Listed twice",IF(D189="","Topic could not be built: check the asset and the measurement",IF(COUNTIF($D$2:$D$201,D189)&gt;1,"Topic used twice","ok")))))</f>
        <v/>
      </c>
    </row>
    <row r="190" customFormat="false" ht="15" hidden="false" customHeight="false" outlineLevel="0" collapsed="false">
      <c r="A190" s="9"/>
      <c r="B190" s="9"/>
      <c r="C190" s="9"/>
      <c r="D190" s="10" t="str">
        <f aca="false">IF(A190="","",IFERROR(IF(INDEX('2 Measurements'!$B$2:$B$201,MATCH(A190,'2 Measurements'!$A$2:$A$201,0))="Measurement",'Read me'!$B$9&amp;"/"&amp;INDEX('2 Assets'!$F$2:$F$201,MATCH(INDEX('2 Measurements'!$C$2:$C$201,MATCH(A190,'2 Measurements'!$A$2:$A$201,0)),'2 Assets'!$A$2:$A$201,0))&amp;"/"&amp;INDEX('2 Measurements'!$F$2:$F$201,MATCH(A190,'2 Measurements'!$A$2:$A$201,0)),'Read me'!$B$10&amp;"/"&amp;IFERROR(IF(INDEX('2 Assets'!$E$2:$E$201,MATCH(INDEX('2 Assets'!$M$2:$M$201,MATCH(INDEX('2 Measurements'!$C$2:$C$201,MATCH(A190,'2 Measurements'!$A$2:$A$201,0)),'2 Assets'!$A$2:$A$201,0)),'2 Assets'!$A$2:$A$201,0))="",INDEX('2 Assets'!$M$2:$M$201,MATCH(INDEX('2 Measurements'!$C$2:$C$201,MATCH(A190,'2 Measurements'!$A$2:$A$201,0)),'2 Assets'!$A$2:$A$201,0)),INDEX('2 Assets'!$E$2:$E$201,MATCH(INDEX('2 Assets'!$M$2:$M$201,MATCH(INDEX('2 Measurements'!$C$2:$C$201,MATCH(A190,'2 Measurements'!$A$2:$A$201,0)),'2 Assets'!$A$2:$A$201,0)),'2 Assets'!$A$2:$A$201,0))),INDEX('2 Assets'!$M$2:$M$201,MATCH(INDEX('2 Measurements'!$C$2:$C$201,MATCH(A190,'2 Measurements'!$A$2:$A$201,0)),'2 Assets'!$A$2:$A$201,0)))&amp;"/"&amp;INDEX('2 Measurements'!$C$2:$C$201,MATCH(A190,'2 Measurements'!$A$2:$A$201,0))&amp;"/"&amp;INDEX('2 Measurements'!$F$2:$F$201,MATCH(A190,'2 Measurements'!$A$2:$A$201,0))),""))</f>
        <v/>
      </c>
      <c r="E190" s="10" t="str">
        <f aca="false">IF(A190="","",IF(SUMPRODUCT(--EXACT('2 Measurements'!$A$2:$A$201,A190))=0,"Not on the Measurements sheet",IF(SUMPRODUCT(--EXACT($A$2:$A$201,A190))&gt;1,"Listed twice",IF(D190="","Topic could not be built: check the asset and the measurement",IF(COUNTIF($D$2:$D$201,D190)&gt;1,"Topic used twice","ok")))))</f>
        <v/>
      </c>
    </row>
    <row r="191" customFormat="false" ht="15" hidden="false" customHeight="false" outlineLevel="0" collapsed="false">
      <c r="A191" s="9"/>
      <c r="B191" s="9"/>
      <c r="C191" s="9"/>
      <c r="D191" s="10" t="str">
        <f aca="false">IF(A191="","",IFERROR(IF(INDEX('2 Measurements'!$B$2:$B$201,MATCH(A191,'2 Measurements'!$A$2:$A$201,0))="Measurement",'Read me'!$B$9&amp;"/"&amp;INDEX('2 Assets'!$F$2:$F$201,MATCH(INDEX('2 Measurements'!$C$2:$C$201,MATCH(A191,'2 Measurements'!$A$2:$A$201,0)),'2 Assets'!$A$2:$A$201,0))&amp;"/"&amp;INDEX('2 Measurements'!$F$2:$F$201,MATCH(A191,'2 Measurements'!$A$2:$A$201,0)),'Read me'!$B$10&amp;"/"&amp;IFERROR(IF(INDEX('2 Assets'!$E$2:$E$201,MATCH(INDEX('2 Assets'!$M$2:$M$201,MATCH(INDEX('2 Measurements'!$C$2:$C$201,MATCH(A191,'2 Measurements'!$A$2:$A$201,0)),'2 Assets'!$A$2:$A$201,0)),'2 Assets'!$A$2:$A$201,0))="",INDEX('2 Assets'!$M$2:$M$201,MATCH(INDEX('2 Measurements'!$C$2:$C$201,MATCH(A191,'2 Measurements'!$A$2:$A$201,0)),'2 Assets'!$A$2:$A$201,0)),INDEX('2 Assets'!$E$2:$E$201,MATCH(INDEX('2 Assets'!$M$2:$M$201,MATCH(INDEX('2 Measurements'!$C$2:$C$201,MATCH(A191,'2 Measurements'!$A$2:$A$201,0)),'2 Assets'!$A$2:$A$201,0)),'2 Assets'!$A$2:$A$201,0))),INDEX('2 Assets'!$M$2:$M$201,MATCH(INDEX('2 Measurements'!$C$2:$C$201,MATCH(A191,'2 Measurements'!$A$2:$A$201,0)),'2 Assets'!$A$2:$A$201,0)))&amp;"/"&amp;INDEX('2 Measurements'!$C$2:$C$201,MATCH(A191,'2 Measurements'!$A$2:$A$201,0))&amp;"/"&amp;INDEX('2 Measurements'!$F$2:$F$201,MATCH(A191,'2 Measurements'!$A$2:$A$201,0))),""))</f>
        <v/>
      </c>
      <c r="E191" s="10" t="str">
        <f aca="false">IF(A191="","",IF(SUMPRODUCT(--EXACT('2 Measurements'!$A$2:$A$201,A191))=0,"Not on the Measurements sheet",IF(SUMPRODUCT(--EXACT($A$2:$A$201,A191))&gt;1,"Listed twice",IF(D191="","Topic could not be built: check the asset and the measurement",IF(COUNTIF($D$2:$D$201,D191)&gt;1,"Topic used twice","ok")))))</f>
        <v/>
      </c>
    </row>
    <row r="192" customFormat="false" ht="15" hidden="false" customHeight="false" outlineLevel="0" collapsed="false">
      <c r="A192" s="9"/>
      <c r="B192" s="9"/>
      <c r="C192" s="9"/>
      <c r="D192" s="10" t="str">
        <f aca="false">IF(A192="","",IFERROR(IF(INDEX('2 Measurements'!$B$2:$B$201,MATCH(A192,'2 Measurements'!$A$2:$A$201,0))="Measurement",'Read me'!$B$9&amp;"/"&amp;INDEX('2 Assets'!$F$2:$F$201,MATCH(INDEX('2 Measurements'!$C$2:$C$201,MATCH(A192,'2 Measurements'!$A$2:$A$201,0)),'2 Assets'!$A$2:$A$201,0))&amp;"/"&amp;INDEX('2 Measurements'!$F$2:$F$201,MATCH(A192,'2 Measurements'!$A$2:$A$201,0)),'Read me'!$B$10&amp;"/"&amp;IFERROR(IF(INDEX('2 Assets'!$E$2:$E$201,MATCH(INDEX('2 Assets'!$M$2:$M$201,MATCH(INDEX('2 Measurements'!$C$2:$C$201,MATCH(A192,'2 Measurements'!$A$2:$A$201,0)),'2 Assets'!$A$2:$A$201,0)),'2 Assets'!$A$2:$A$201,0))="",INDEX('2 Assets'!$M$2:$M$201,MATCH(INDEX('2 Measurements'!$C$2:$C$201,MATCH(A192,'2 Measurements'!$A$2:$A$201,0)),'2 Assets'!$A$2:$A$201,0)),INDEX('2 Assets'!$E$2:$E$201,MATCH(INDEX('2 Assets'!$M$2:$M$201,MATCH(INDEX('2 Measurements'!$C$2:$C$201,MATCH(A192,'2 Measurements'!$A$2:$A$201,0)),'2 Assets'!$A$2:$A$201,0)),'2 Assets'!$A$2:$A$201,0))),INDEX('2 Assets'!$M$2:$M$201,MATCH(INDEX('2 Measurements'!$C$2:$C$201,MATCH(A192,'2 Measurements'!$A$2:$A$201,0)),'2 Assets'!$A$2:$A$201,0)))&amp;"/"&amp;INDEX('2 Measurements'!$C$2:$C$201,MATCH(A192,'2 Measurements'!$A$2:$A$201,0))&amp;"/"&amp;INDEX('2 Measurements'!$F$2:$F$201,MATCH(A192,'2 Measurements'!$A$2:$A$201,0))),""))</f>
        <v/>
      </c>
      <c r="E192" s="10" t="str">
        <f aca="false">IF(A192="","",IF(SUMPRODUCT(--EXACT('2 Measurements'!$A$2:$A$201,A192))=0,"Not on the Measurements sheet",IF(SUMPRODUCT(--EXACT($A$2:$A$201,A192))&gt;1,"Listed twice",IF(D192="","Topic could not be built: check the asset and the measurement",IF(COUNTIF($D$2:$D$201,D192)&gt;1,"Topic used twice","ok")))))</f>
        <v/>
      </c>
    </row>
    <row r="193" customFormat="false" ht="15" hidden="false" customHeight="false" outlineLevel="0" collapsed="false">
      <c r="A193" s="9"/>
      <c r="B193" s="9"/>
      <c r="C193" s="9"/>
      <c r="D193" s="10" t="str">
        <f aca="false">IF(A193="","",IFERROR(IF(INDEX('2 Measurements'!$B$2:$B$201,MATCH(A193,'2 Measurements'!$A$2:$A$201,0))="Measurement",'Read me'!$B$9&amp;"/"&amp;INDEX('2 Assets'!$F$2:$F$201,MATCH(INDEX('2 Measurements'!$C$2:$C$201,MATCH(A193,'2 Measurements'!$A$2:$A$201,0)),'2 Assets'!$A$2:$A$201,0))&amp;"/"&amp;INDEX('2 Measurements'!$F$2:$F$201,MATCH(A193,'2 Measurements'!$A$2:$A$201,0)),'Read me'!$B$10&amp;"/"&amp;IFERROR(IF(INDEX('2 Assets'!$E$2:$E$201,MATCH(INDEX('2 Assets'!$M$2:$M$201,MATCH(INDEX('2 Measurements'!$C$2:$C$201,MATCH(A193,'2 Measurements'!$A$2:$A$201,0)),'2 Assets'!$A$2:$A$201,0)),'2 Assets'!$A$2:$A$201,0))="",INDEX('2 Assets'!$M$2:$M$201,MATCH(INDEX('2 Measurements'!$C$2:$C$201,MATCH(A193,'2 Measurements'!$A$2:$A$201,0)),'2 Assets'!$A$2:$A$201,0)),INDEX('2 Assets'!$E$2:$E$201,MATCH(INDEX('2 Assets'!$M$2:$M$201,MATCH(INDEX('2 Measurements'!$C$2:$C$201,MATCH(A193,'2 Measurements'!$A$2:$A$201,0)),'2 Assets'!$A$2:$A$201,0)),'2 Assets'!$A$2:$A$201,0))),INDEX('2 Assets'!$M$2:$M$201,MATCH(INDEX('2 Measurements'!$C$2:$C$201,MATCH(A193,'2 Measurements'!$A$2:$A$201,0)),'2 Assets'!$A$2:$A$201,0)))&amp;"/"&amp;INDEX('2 Measurements'!$C$2:$C$201,MATCH(A193,'2 Measurements'!$A$2:$A$201,0))&amp;"/"&amp;INDEX('2 Measurements'!$F$2:$F$201,MATCH(A193,'2 Measurements'!$A$2:$A$201,0))),""))</f>
        <v/>
      </c>
      <c r="E193" s="10" t="str">
        <f aca="false">IF(A193="","",IF(SUMPRODUCT(--EXACT('2 Measurements'!$A$2:$A$201,A193))=0,"Not on the Measurements sheet",IF(SUMPRODUCT(--EXACT($A$2:$A$201,A193))&gt;1,"Listed twice",IF(D193="","Topic could not be built: check the asset and the measurement",IF(COUNTIF($D$2:$D$201,D193)&gt;1,"Topic used twice","ok")))))</f>
        <v/>
      </c>
    </row>
    <row r="194" customFormat="false" ht="15" hidden="false" customHeight="false" outlineLevel="0" collapsed="false">
      <c r="A194" s="9"/>
      <c r="B194" s="9"/>
      <c r="C194" s="9"/>
      <c r="D194" s="10" t="str">
        <f aca="false">IF(A194="","",IFERROR(IF(INDEX('2 Measurements'!$B$2:$B$201,MATCH(A194,'2 Measurements'!$A$2:$A$201,0))="Measurement",'Read me'!$B$9&amp;"/"&amp;INDEX('2 Assets'!$F$2:$F$201,MATCH(INDEX('2 Measurements'!$C$2:$C$201,MATCH(A194,'2 Measurements'!$A$2:$A$201,0)),'2 Assets'!$A$2:$A$201,0))&amp;"/"&amp;INDEX('2 Measurements'!$F$2:$F$201,MATCH(A194,'2 Measurements'!$A$2:$A$201,0)),'Read me'!$B$10&amp;"/"&amp;IFERROR(IF(INDEX('2 Assets'!$E$2:$E$201,MATCH(INDEX('2 Assets'!$M$2:$M$201,MATCH(INDEX('2 Measurements'!$C$2:$C$201,MATCH(A194,'2 Measurements'!$A$2:$A$201,0)),'2 Assets'!$A$2:$A$201,0)),'2 Assets'!$A$2:$A$201,0))="",INDEX('2 Assets'!$M$2:$M$201,MATCH(INDEX('2 Measurements'!$C$2:$C$201,MATCH(A194,'2 Measurements'!$A$2:$A$201,0)),'2 Assets'!$A$2:$A$201,0)),INDEX('2 Assets'!$E$2:$E$201,MATCH(INDEX('2 Assets'!$M$2:$M$201,MATCH(INDEX('2 Measurements'!$C$2:$C$201,MATCH(A194,'2 Measurements'!$A$2:$A$201,0)),'2 Assets'!$A$2:$A$201,0)),'2 Assets'!$A$2:$A$201,0))),INDEX('2 Assets'!$M$2:$M$201,MATCH(INDEX('2 Measurements'!$C$2:$C$201,MATCH(A194,'2 Measurements'!$A$2:$A$201,0)),'2 Assets'!$A$2:$A$201,0)))&amp;"/"&amp;INDEX('2 Measurements'!$C$2:$C$201,MATCH(A194,'2 Measurements'!$A$2:$A$201,0))&amp;"/"&amp;INDEX('2 Measurements'!$F$2:$F$201,MATCH(A194,'2 Measurements'!$A$2:$A$201,0))),""))</f>
        <v/>
      </c>
      <c r="E194" s="10" t="str">
        <f aca="false">IF(A194="","",IF(SUMPRODUCT(--EXACT('2 Measurements'!$A$2:$A$201,A194))=0,"Not on the Measurements sheet",IF(SUMPRODUCT(--EXACT($A$2:$A$201,A194))&gt;1,"Listed twice",IF(D194="","Topic could not be built: check the asset and the measurement",IF(COUNTIF($D$2:$D$201,D194)&gt;1,"Topic used twice","ok")))))</f>
        <v/>
      </c>
    </row>
    <row r="195" customFormat="false" ht="15" hidden="false" customHeight="false" outlineLevel="0" collapsed="false">
      <c r="A195" s="9"/>
      <c r="B195" s="9"/>
      <c r="C195" s="9"/>
      <c r="D195" s="10" t="str">
        <f aca="false">IF(A195="","",IFERROR(IF(INDEX('2 Measurements'!$B$2:$B$201,MATCH(A195,'2 Measurements'!$A$2:$A$201,0))="Measurement",'Read me'!$B$9&amp;"/"&amp;INDEX('2 Assets'!$F$2:$F$201,MATCH(INDEX('2 Measurements'!$C$2:$C$201,MATCH(A195,'2 Measurements'!$A$2:$A$201,0)),'2 Assets'!$A$2:$A$201,0))&amp;"/"&amp;INDEX('2 Measurements'!$F$2:$F$201,MATCH(A195,'2 Measurements'!$A$2:$A$201,0)),'Read me'!$B$10&amp;"/"&amp;IFERROR(IF(INDEX('2 Assets'!$E$2:$E$201,MATCH(INDEX('2 Assets'!$M$2:$M$201,MATCH(INDEX('2 Measurements'!$C$2:$C$201,MATCH(A195,'2 Measurements'!$A$2:$A$201,0)),'2 Assets'!$A$2:$A$201,0)),'2 Assets'!$A$2:$A$201,0))="",INDEX('2 Assets'!$M$2:$M$201,MATCH(INDEX('2 Measurements'!$C$2:$C$201,MATCH(A195,'2 Measurements'!$A$2:$A$201,0)),'2 Assets'!$A$2:$A$201,0)),INDEX('2 Assets'!$E$2:$E$201,MATCH(INDEX('2 Assets'!$M$2:$M$201,MATCH(INDEX('2 Measurements'!$C$2:$C$201,MATCH(A195,'2 Measurements'!$A$2:$A$201,0)),'2 Assets'!$A$2:$A$201,0)),'2 Assets'!$A$2:$A$201,0))),INDEX('2 Assets'!$M$2:$M$201,MATCH(INDEX('2 Measurements'!$C$2:$C$201,MATCH(A195,'2 Measurements'!$A$2:$A$201,0)),'2 Assets'!$A$2:$A$201,0)))&amp;"/"&amp;INDEX('2 Measurements'!$C$2:$C$201,MATCH(A195,'2 Measurements'!$A$2:$A$201,0))&amp;"/"&amp;INDEX('2 Measurements'!$F$2:$F$201,MATCH(A195,'2 Measurements'!$A$2:$A$201,0))),""))</f>
        <v/>
      </c>
      <c r="E195" s="10" t="str">
        <f aca="false">IF(A195="","",IF(SUMPRODUCT(--EXACT('2 Measurements'!$A$2:$A$201,A195))=0,"Not on the Measurements sheet",IF(SUMPRODUCT(--EXACT($A$2:$A$201,A195))&gt;1,"Listed twice",IF(D195="","Topic could not be built: check the asset and the measurement",IF(COUNTIF($D$2:$D$201,D195)&gt;1,"Topic used twice","ok")))))</f>
        <v/>
      </c>
    </row>
    <row r="196" customFormat="false" ht="15" hidden="false" customHeight="false" outlineLevel="0" collapsed="false">
      <c r="A196" s="9"/>
      <c r="B196" s="9"/>
      <c r="C196" s="9"/>
      <c r="D196" s="10" t="str">
        <f aca="false">IF(A196="","",IFERROR(IF(INDEX('2 Measurements'!$B$2:$B$201,MATCH(A196,'2 Measurements'!$A$2:$A$201,0))="Measurement",'Read me'!$B$9&amp;"/"&amp;INDEX('2 Assets'!$F$2:$F$201,MATCH(INDEX('2 Measurements'!$C$2:$C$201,MATCH(A196,'2 Measurements'!$A$2:$A$201,0)),'2 Assets'!$A$2:$A$201,0))&amp;"/"&amp;INDEX('2 Measurements'!$F$2:$F$201,MATCH(A196,'2 Measurements'!$A$2:$A$201,0)),'Read me'!$B$10&amp;"/"&amp;IFERROR(IF(INDEX('2 Assets'!$E$2:$E$201,MATCH(INDEX('2 Assets'!$M$2:$M$201,MATCH(INDEX('2 Measurements'!$C$2:$C$201,MATCH(A196,'2 Measurements'!$A$2:$A$201,0)),'2 Assets'!$A$2:$A$201,0)),'2 Assets'!$A$2:$A$201,0))="",INDEX('2 Assets'!$M$2:$M$201,MATCH(INDEX('2 Measurements'!$C$2:$C$201,MATCH(A196,'2 Measurements'!$A$2:$A$201,0)),'2 Assets'!$A$2:$A$201,0)),INDEX('2 Assets'!$E$2:$E$201,MATCH(INDEX('2 Assets'!$M$2:$M$201,MATCH(INDEX('2 Measurements'!$C$2:$C$201,MATCH(A196,'2 Measurements'!$A$2:$A$201,0)),'2 Assets'!$A$2:$A$201,0)),'2 Assets'!$A$2:$A$201,0))),INDEX('2 Assets'!$M$2:$M$201,MATCH(INDEX('2 Measurements'!$C$2:$C$201,MATCH(A196,'2 Measurements'!$A$2:$A$201,0)),'2 Assets'!$A$2:$A$201,0)))&amp;"/"&amp;INDEX('2 Measurements'!$C$2:$C$201,MATCH(A196,'2 Measurements'!$A$2:$A$201,0))&amp;"/"&amp;INDEX('2 Measurements'!$F$2:$F$201,MATCH(A196,'2 Measurements'!$A$2:$A$201,0))),""))</f>
        <v/>
      </c>
      <c r="E196" s="10" t="str">
        <f aca="false">IF(A196="","",IF(SUMPRODUCT(--EXACT('2 Measurements'!$A$2:$A$201,A196))=0,"Not on the Measurements sheet",IF(SUMPRODUCT(--EXACT($A$2:$A$201,A196))&gt;1,"Listed twice",IF(D196="","Topic could not be built: check the asset and the measurement",IF(COUNTIF($D$2:$D$201,D196)&gt;1,"Topic used twice","ok")))))</f>
        <v/>
      </c>
    </row>
    <row r="197" customFormat="false" ht="15" hidden="false" customHeight="false" outlineLevel="0" collapsed="false">
      <c r="A197" s="9"/>
      <c r="B197" s="9"/>
      <c r="C197" s="9"/>
      <c r="D197" s="10" t="str">
        <f aca="false">IF(A197="","",IFERROR(IF(INDEX('2 Measurements'!$B$2:$B$201,MATCH(A197,'2 Measurements'!$A$2:$A$201,0))="Measurement",'Read me'!$B$9&amp;"/"&amp;INDEX('2 Assets'!$F$2:$F$201,MATCH(INDEX('2 Measurements'!$C$2:$C$201,MATCH(A197,'2 Measurements'!$A$2:$A$201,0)),'2 Assets'!$A$2:$A$201,0))&amp;"/"&amp;INDEX('2 Measurements'!$F$2:$F$201,MATCH(A197,'2 Measurements'!$A$2:$A$201,0)),'Read me'!$B$10&amp;"/"&amp;IFERROR(IF(INDEX('2 Assets'!$E$2:$E$201,MATCH(INDEX('2 Assets'!$M$2:$M$201,MATCH(INDEX('2 Measurements'!$C$2:$C$201,MATCH(A197,'2 Measurements'!$A$2:$A$201,0)),'2 Assets'!$A$2:$A$201,0)),'2 Assets'!$A$2:$A$201,0))="",INDEX('2 Assets'!$M$2:$M$201,MATCH(INDEX('2 Measurements'!$C$2:$C$201,MATCH(A197,'2 Measurements'!$A$2:$A$201,0)),'2 Assets'!$A$2:$A$201,0)),INDEX('2 Assets'!$E$2:$E$201,MATCH(INDEX('2 Assets'!$M$2:$M$201,MATCH(INDEX('2 Measurements'!$C$2:$C$201,MATCH(A197,'2 Measurements'!$A$2:$A$201,0)),'2 Assets'!$A$2:$A$201,0)),'2 Assets'!$A$2:$A$201,0))),INDEX('2 Assets'!$M$2:$M$201,MATCH(INDEX('2 Measurements'!$C$2:$C$201,MATCH(A197,'2 Measurements'!$A$2:$A$201,0)),'2 Assets'!$A$2:$A$201,0)))&amp;"/"&amp;INDEX('2 Measurements'!$C$2:$C$201,MATCH(A197,'2 Measurements'!$A$2:$A$201,0))&amp;"/"&amp;INDEX('2 Measurements'!$F$2:$F$201,MATCH(A197,'2 Measurements'!$A$2:$A$201,0))),""))</f>
        <v/>
      </c>
      <c r="E197" s="10" t="str">
        <f aca="false">IF(A197="","",IF(SUMPRODUCT(--EXACT('2 Measurements'!$A$2:$A$201,A197))=0,"Not on the Measurements sheet",IF(SUMPRODUCT(--EXACT($A$2:$A$201,A197))&gt;1,"Listed twice",IF(D197="","Topic could not be built: check the asset and the measurement",IF(COUNTIF($D$2:$D$201,D197)&gt;1,"Topic used twice","ok")))))</f>
        <v/>
      </c>
    </row>
    <row r="198" customFormat="false" ht="15" hidden="false" customHeight="false" outlineLevel="0" collapsed="false">
      <c r="A198" s="9"/>
      <c r="B198" s="9"/>
      <c r="C198" s="9"/>
      <c r="D198" s="10" t="str">
        <f aca="false">IF(A198="","",IFERROR(IF(INDEX('2 Measurements'!$B$2:$B$201,MATCH(A198,'2 Measurements'!$A$2:$A$201,0))="Measurement",'Read me'!$B$9&amp;"/"&amp;INDEX('2 Assets'!$F$2:$F$201,MATCH(INDEX('2 Measurements'!$C$2:$C$201,MATCH(A198,'2 Measurements'!$A$2:$A$201,0)),'2 Assets'!$A$2:$A$201,0))&amp;"/"&amp;INDEX('2 Measurements'!$F$2:$F$201,MATCH(A198,'2 Measurements'!$A$2:$A$201,0)),'Read me'!$B$10&amp;"/"&amp;IFERROR(IF(INDEX('2 Assets'!$E$2:$E$201,MATCH(INDEX('2 Assets'!$M$2:$M$201,MATCH(INDEX('2 Measurements'!$C$2:$C$201,MATCH(A198,'2 Measurements'!$A$2:$A$201,0)),'2 Assets'!$A$2:$A$201,0)),'2 Assets'!$A$2:$A$201,0))="",INDEX('2 Assets'!$M$2:$M$201,MATCH(INDEX('2 Measurements'!$C$2:$C$201,MATCH(A198,'2 Measurements'!$A$2:$A$201,0)),'2 Assets'!$A$2:$A$201,0)),INDEX('2 Assets'!$E$2:$E$201,MATCH(INDEX('2 Assets'!$M$2:$M$201,MATCH(INDEX('2 Measurements'!$C$2:$C$201,MATCH(A198,'2 Measurements'!$A$2:$A$201,0)),'2 Assets'!$A$2:$A$201,0)),'2 Assets'!$A$2:$A$201,0))),INDEX('2 Assets'!$M$2:$M$201,MATCH(INDEX('2 Measurements'!$C$2:$C$201,MATCH(A198,'2 Measurements'!$A$2:$A$201,0)),'2 Assets'!$A$2:$A$201,0)))&amp;"/"&amp;INDEX('2 Measurements'!$C$2:$C$201,MATCH(A198,'2 Measurements'!$A$2:$A$201,0))&amp;"/"&amp;INDEX('2 Measurements'!$F$2:$F$201,MATCH(A198,'2 Measurements'!$A$2:$A$201,0))),""))</f>
        <v/>
      </c>
      <c r="E198" s="10" t="str">
        <f aca="false">IF(A198="","",IF(SUMPRODUCT(--EXACT('2 Measurements'!$A$2:$A$201,A198))=0,"Not on the Measurements sheet",IF(SUMPRODUCT(--EXACT($A$2:$A$201,A198))&gt;1,"Listed twice",IF(D198="","Topic could not be built: check the asset and the measurement",IF(COUNTIF($D$2:$D$201,D198)&gt;1,"Topic used twice","ok")))))</f>
        <v/>
      </c>
    </row>
    <row r="199" customFormat="false" ht="15" hidden="false" customHeight="false" outlineLevel="0" collapsed="false">
      <c r="A199" s="9"/>
      <c r="B199" s="9"/>
      <c r="C199" s="9"/>
      <c r="D199" s="10" t="str">
        <f aca="false">IF(A199="","",IFERROR(IF(INDEX('2 Measurements'!$B$2:$B$201,MATCH(A199,'2 Measurements'!$A$2:$A$201,0))="Measurement",'Read me'!$B$9&amp;"/"&amp;INDEX('2 Assets'!$F$2:$F$201,MATCH(INDEX('2 Measurements'!$C$2:$C$201,MATCH(A199,'2 Measurements'!$A$2:$A$201,0)),'2 Assets'!$A$2:$A$201,0))&amp;"/"&amp;INDEX('2 Measurements'!$F$2:$F$201,MATCH(A199,'2 Measurements'!$A$2:$A$201,0)),'Read me'!$B$10&amp;"/"&amp;IFERROR(IF(INDEX('2 Assets'!$E$2:$E$201,MATCH(INDEX('2 Assets'!$M$2:$M$201,MATCH(INDEX('2 Measurements'!$C$2:$C$201,MATCH(A199,'2 Measurements'!$A$2:$A$201,0)),'2 Assets'!$A$2:$A$201,0)),'2 Assets'!$A$2:$A$201,0))="",INDEX('2 Assets'!$M$2:$M$201,MATCH(INDEX('2 Measurements'!$C$2:$C$201,MATCH(A199,'2 Measurements'!$A$2:$A$201,0)),'2 Assets'!$A$2:$A$201,0)),INDEX('2 Assets'!$E$2:$E$201,MATCH(INDEX('2 Assets'!$M$2:$M$201,MATCH(INDEX('2 Measurements'!$C$2:$C$201,MATCH(A199,'2 Measurements'!$A$2:$A$201,0)),'2 Assets'!$A$2:$A$201,0)),'2 Assets'!$A$2:$A$201,0))),INDEX('2 Assets'!$M$2:$M$201,MATCH(INDEX('2 Measurements'!$C$2:$C$201,MATCH(A199,'2 Measurements'!$A$2:$A$201,0)),'2 Assets'!$A$2:$A$201,0)))&amp;"/"&amp;INDEX('2 Measurements'!$C$2:$C$201,MATCH(A199,'2 Measurements'!$A$2:$A$201,0))&amp;"/"&amp;INDEX('2 Measurements'!$F$2:$F$201,MATCH(A199,'2 Measurements'!$A$2:$A$201,0))),""))</f>
        <v/>
      </c>
      <c r="E199" s="10" t="str">
        <f aca="false">IF(A199="","",IF(SUMPRODUCT(--EXACT('2 Measurements'!$A$2:$A$201,A199))=0,"Not on the Measurements sheet",IF(SUMPRODUCT(--EXACT($A$2:$A$201,A199))&gt;1,"Listed twice",IF(D199="","Topic could not be built: check the asset and the measurement",IF(COUNTIF($D$2:$D$201,D199)&gt;1,"Topic used twice","ok")))))</f>
        <v/>
      </c>
    </row>
    <row r="200" customFormat="false" ht="15" hidden="false" customHeight="false" outlineLevel="0" collapsed="false">
      <c r="A200" s="9"/>
      <c r="B200" s="9"/>
      <c r="C200" s="9"/>
      <c r="D200" s="10" t="str">
        <f aca="false">IF(A200="","",IFERROR(IF(INDEX('2 Measurements'!$B$2:$B$201,MATCH(A200,'2 Measurements'!$A$2:$A$201,0))="Measurement",'Read me'!$B$9&amp;"/"&amp;INDEX('2 Assets'!$F$2:$F$201,MATCH(INDEX('2 Measurements'!$C$2:$C$201,MATCH(A200,'2 Measurements'!$A$2:$A$201,0)),'2 Assets'!$A$2:$A$201,0))&amp;"/"&amp;INDEX('2 Measurements'!$F$2:$F$201,MATCH(A200,'2 Measurements'!$A$2:$A$201,0)),'Read me'!$B$10&amp;"/"&amp;IFERROR(IF(INDEX('2 Assets'!$E$2:$E$201,MATCH(INDEX('2 Assets'!$M$2:$M$201,MATCH(INDEX('2 Measurements'!$C$2:$C$201,MATCH(A200,'2 Measurements'!$A$2:$A$201,0)),'2 Assets'!$A$2:$A$201,0)),'2 Assets'!$A$2:$A$201,0))="",INDEX('2 Assets'!$M$2:$M$201,MATCH(INDEX('2 Measurements'!$C$2:$C$201,MATCH(A200,'2 Measurements'!$A$2:$A$201,0)),'2 Assets'!$A$2:$A$201,0)),INDEX('2 Assets'!$E$2:$E$201,MATCH(INDEX('2 Assets'!$M$2:$M$201,MATCH(INDEX('2 Measurements'!$C$2:$C$201,MATCH(A200,'2 Measurements'!$A$2:$A$201,0)),'2 Assets'!$A$2:$A$201,0)),'2 Assets'!$A$2:$A$201,0))),INDEX('2 Assets'!$M$2:$M$201,MATCH(INDEX('2 Measurements'!$C$2:$C$201,MATCH(A200,'2 Measurements'!$A$2:$A$201,0)),'2 Assets'!$A$2:$A$201,0)))&amp;"/"&amp;INDEX('2 Measurements'!$C$2:$C$201,MATCH(A200,'2 Measurements'!$A$2:$A$201,0))&amp;"/"&amp;INDEX('2 Measurements'!$F$2:$F$201,MATCH(A200,'2 Measurements'!$A$2:$A$201,0))),""))</f>
        <v/>
      </c>
      <c r="E200" s="10" t="str">
        <f aca="false">IF(A200="","",IF(SUMPRODUCT(--EXACT('2 Measurements'!$A$2:$A$201,A200))=0,"Not on the Measurements sheet",IF(SUMPRODUCT(--EXACT($A$2:$A$201,A200))&gt;1,"Listed twice",IF(D200="","Topic could not be built: check the asset and the measurement",IF(COUNTIF($D$2:$D$201,D200)&gt;1,"Topic used twice","ok")))))</f>
        <v/>
      </c>
    </row>
    <row r="201" customFormat="false" ht="15" hidden="false" customHeight="false" outlineLevel="0" collapsed="false">
      <c r="A201" s="9"/>
      <c r="B201" s="9"/>
      <c r="C201" s="9"/>
      <c r="D201" s="10" t="str">
        <f aca="false">IF(A201="","",IFERROR(IF(INDEX('2 Measurements'!$B$2:$B$201,MATCH(A201,'2 Measurements'!$A$2:$A$201,0))="Measurement",'Read me'!$B$9&amp;"/"&amp;INDEX('2 Assets'!$F$2:$F$201,MATCH(INDEX('2 Measurements'!$C$2:$C$201,MATCH(A201,'2 Measurements'!$A$2:$A$201,0)),'2 Assets'!$A$2:$A$201,0))&amp;"/"&amp;INDEX('2 Measurements'!$F$2:$F$201,MATCH(A201,'2 Measurements'!$A$2:$A$201,0)),'Read me'!$B$10&amp;"/"&amp;IFERROR(IF(INDEX('2 Assets'!$E$2:$E$201,MATCH(INDEX('2 Assets'!$M$2:$M$201,MATCH(INDEX('2 Measurements'!$C$2:$C$201,MATCH(A201,'2 Measurements'!$A$2:$A$201,0)),'2 Assets'!$A$2:$A$201,0)),'2 Assets'!$A$2:$A$201,0))="",INDEX('2 Assets'!$M$2:$M$201,MATCH(INDEX('2 Measurements'!$C$2:$C$201,MATCH(A201,'2 Measurements'!$A$2:$A$201,0)),'2 Assets'!$A$2:$A$201,0)),INDEX('2 Assets'!$E$2:$E$201,MATCH(INDEX('2 Assets'!$M$2:$M$201,MATCH(INDEX('2 Measurements'!$C$2:$C$201,MATCH(A201,'2 Measurements'!$A$2:$A$201,0)),'2 Assets'!$A$2:$A$201,0)),'2 Assets'!$A$2:$A$201,0))),INDEX('2 Assets'!$M$2:$M$201,MATCH(INDEX('2 Measurements'!$C$2:$C$201,MATCH(A201,'2 Measurements'!$A$2:$A$201,0)),'2 Assets'!$A$2:$A$201,0)))&amp;"/"&amp;INDEX('2 Measurements'!$C$2:$C$201,MATCH(A201,'2 Measurements'!$A$2:$A$201,0))&amp;"/"&amp;INDEX('2 Measurements'!$F$2:$F$201,MATCH(A201,'2 Measurements'!$A$2:$A$201,0))),""))</f>
        <v/>
      </c>
      <c r="E201" s="10" t="str">
        <f aca="false">IF(A201="","",IF(SUMPRODUCT(--EXACT('2 Measurements'!$A$2:$A$201,A201))=0,"Not on the Measurements sheet",IF(SUMPRODUCT(--EXACT($A$2:$A$201,A201))&gt;1,"Listed twice",IF(D201="","Topic could not be built: check the asset and the measurement",IF(COUNTIF($D$2:$D$201,D201)&gt;1,"Topic used twice","ok")))))</f>
        <v/>
      </c>
    </row>
  </sheetData>
  <dataValidations count="1">
    <dataValidation allowBlank="true" error="This value is not on the list. The check column will flag it." errorStyle="warning" errorTitle="Not on the list" operator="between" prompt="Pick a measurement from the Measurements sheet." showDropDown="false" showErrorMessage="true" showInputMessage="true" sqref="A2:A201" type="list">
      <formula1>'2 Measurements'!$A$2:$A$201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2026-10-13T16:12:02Z</dcterms:created>
  <dc:creator>openpyxl</dc:creator>
  <dc:description/>
  <dc:language>en-US</dc:language>
  <cp:lastModifiedBy/>
  <dcterms:modified xsi:type="dcterms:W3CDTF">2026-10-13T16:12:02Z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